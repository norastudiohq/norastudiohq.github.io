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04-wedding-budget\"/>
    </mc:Choice>
  </mc:AlternateContent>
  <xr:revisionPtr revIDLastSave="0" documentId="13_ncr:1_{8501042B-985B-4E7F-ABBE-2B0620F8D8C4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Budget" sheetId="3" r:id="rId3"/>
    <sheet name="Payments" sheetId="4" r:id="rId4"/>
    <sheet name="Vendors" sheetId="5" r:id="rId5"/>
    <sheet name="Guest List" sheetId="6" r:id="rId6"/>
    <sheet name="Checklist" sheetId="7" r:id="rId7"/>
    <sheet name="Lists" sheetId="8" state="hidden" r:id="rId8"/>
    <sheet name="Calc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9" l="1" a="1"/>
  <c r="C117" i="9" s="1"/>
  <c r="C116" i="9"/>
  <c r="C115" i="9"/>
  <c r="C118" i="9" s="1"/>
  <c r="L18" i="2" s="1"/>
  <c r="B99" i="9"/>
  <c r="G99" i="9" s="1"/>
  <c r="B98" i="9"/>
  <c r="G98" i="9" s="1"/>
  <c r="B97" i="9"/>
  <c r="G97" i="9" s="1"/>
  <c r="B96" i="9"/>
  <c r="G96" i="9" s="1"/>
  <c r="B95" i="9"/>
  <c r="G95" i="9" s="1"/>
  <c r="B94" i="9"/>
  <c r="G94" i="9" s="1"/>
  <c r="B93" i="9"/>
  <c r="G93" i="9" s="1"/>
  <c r="B92" i="9"/>
  <c r="G92" i="9" s="1"/>
  <c r="B91" i="9"/>
  <c r="G91" i="9" s="1"/>
  <c r="B90" i="9"/>
  <c r="G90" i="9" s="1"/>
  <c r="B89" i="9"/>
  <c r="G89" i="9" s="1"/>
  <c r="B88" i="9"/>
  <c r="G88" i="9" s="1"/>
  <c r="B87" i="9"/>
  <c r="G87" i="9" s="1"/>
  <c r="B86" i="9"/>
  <c r="G86" i="9" s="1"/>
  <c r="B85" i="9"/>
  <c r="G85" i="9" s="1"/>
  <c r="B84" i="9"/>
  <c r="G84" i="9" s="1"/>
  <c r="B83" i="9"/>
  <c r="G83" i="9" s="1"/>
  <c r="B82" i="9"/>
  <c r="G82" i="9" s="1"/>
  <c r="B81" i="9"/>
  <c r="G81" i="9" s="1"/>
  <c r="B80" i="9"/>
  <c r="G80" i="9" s="1"/>
  <c r="B79" i="9"/>
  <c r="G79" i="9" s="1"/>
  <c r="B78" i="9"/>
  <c r="G78" i="9" s="1"/>
  <c r="B77" i="9"/>
  <c r="G77" i="9" s="1"/>
  <c r="B76" i="9"/>
  <c r="G76" i="9" s="1"/>
  <c r="B75" i="9"/>
  <c r="G75" i="9" s="1"/>
  <c r="B74" i="9"/>
  <c r="G74" i="9" s="1"/>
  <c r="B73" i="9"/>
  <c r="G73" i="9" s="1"/>
  <c r="B72" i="9"/>
  <c r="G72" i="9" s="1"/>
  <c r="B71" i="9"/>
  <c r="G71" i="9" s="1"/>
  <c r="B70" i="9"/>
  <c r="G70" i="9" s="1"/>
  <c r="B69" i="9"/>
  <c r="G69" i="9" s="1"/>
  <c r="B68" i="9"/>
  <c r="G68" i="9" s="1"/>
  <c r="B67" i="9"/>
  <c r="G67" i="9" s="1"/>
  <c r="B66" i="9"/>
  <c r="G66" i="9" s="1"/>
  <c r="B65" i="9"/>
  <c r="G65" i="9" s="1"/>
  <c r="B64" i="9"/>
  <c r="G64" i="9" s="1"/>
  <c r="B63" i="9"/>
  <c r="G63" i="9" s="1"/>
  <c r="B62" i="9"/>
  <c r="G62" i="9" s="1"/>
  <c r="B61" i="9"/>
  <c r="G61" i="9" s="1"/>
  <c r="B60" i="9"/>
  <c r="B53" i="9"/>
  <c r="B52" i="9"/>
  <c r="C52" i="9" s="1"/>
  <c r="V46" i="2" s="1"/>
  <c r="B51" i="9"/>
  <c r="C51" i="9" s="1"/>
  <c r="V45" i="2" s="1"/>
  <c r="B50" i="9"/>
  <c r="B49" i="9"/>
  <c r="C49" i="9" s="1"/>
  <c r="V43" i="2" s="1"/>
  <c r="B48" i="9"/>
  <c r="C48" i="9" s="1"/>
  <c r="V42" i="2" s="1"/>
  <c r="B47" i="9"/>
  <c r="B46" i="9"/>
  <c r="B45" i="9"/>
  <c r="B44" i="9"/>
  <c r="C44" i="9" s="1"/>
  <c r="V38" i="2" s="1"/>
  <c r="B43" i="9"/>
  <c r="B42" i="9"/>
  <c r="B41" i="9"/>
  <c r="B40" i="9"/>
  <c r="B39" i="9"/>
  <c r="B38" i="9"/>
  <c r="B37" i="9"/>
  <c r="B36" i="9"/>
  <c r="B35" i="9"/>
  <c r="C27" i="9"/>
  <c r="C22" i="9"/>
  <c r="W24" i="2" s="1"/>
  <c r="B22" i="9"/>
  <c r="V24" i="2" s="1"/>
  <c r="C21" i="9"/>
  <c r="W23" i="2" s="1"/>
  <c r="B21" i="9"/>
  <c r="V23" i="2" s="1"/>
  <c r="B20" i="9"/>
  <c r="V22" i="2" s="1"/>
  <c r="B19" i="9"/>
  <c r="V21" i="2" s="1"/>
  <c r="B18" i="9"/>
  <c r="V20" i="2" s="1"/>
  <c r="B17" i="9"/>
  <c r="V19" i="2" s="1"/>
  <c r="B16" i="9"/>
  <c r="V18" i="2" s="1"/>
  <c r="B15" i="9"/>
  <c r="V17" i="2" s="1"/>
  <c r="C14" i="9"/>
  <c r="W16" i="2" s="1"/>
  <c r="B14" i="9"/>
  <c r="V16" i="2" s="1"/>
  <c r="C13" i="9"/>
  <c r="W15" i="2" s="1"/>
  <c r="B13" i="9"/>
  <c r="V15" i="2" s="1"/>
  <c r="C12" i="9"/>
  <c r="W14" i="2" s="1"/>
  <c r="B12" i="9"/>
  <c r="V14" i="2" s="1"/>
  <c r="C11" i="9"/>
  <c r="W13" i="2" s="1"/>
  <c r="B11" i="9"/>
  <c r="V13" i="2" s="1"/>
  <c r="C10" i="9"/>
  <c r="W12" i="2" s="1"/>
  <c r="B10" i="9"/>
  <c r="V12" i="2" s="1"/>
  <c r="C9" i="9"/>
  <c r="W11" i="2" s="1"/>
  <c r="B9" i="9"/>
  <c r="V11" i="2" s="1"/>
  <c r="C8" i="9"/>
  <c r="W10" i="2" s="1"/>
  <c r="B8" i="9"/>
  <c r="V10" i="2" s="1"/>
  <c r="C7" i="9"/>
  <c r="W9" i="2" s="1"/>
  <c r="B7" i="9"/>
  <c r="V9" i="2" s="1"/>
  <c r="C6" i="9"/>
  <c r="W8" i="2" s="1"/>
  <c r="B6" i="9"/>
  <c r="V8" i="2" s="1"/>
  <c r="D5" i="9"/>
  <c r="C5" i="9"/>
  <c r="W7" i="2" s="1"/>
  <c r="B5" i="9"/>
  <c r="V7" i="2" s="1"/>
  <c r="F4" i="9"/>
  <c r="H8" i="3" s="1"/>
  <c r="E4" i="9"/>
  <c r="G8" i="3" s="1"/>
  <c r="D4" i="9"/>
  <c r="C4" i="9"/>
  <c r="W6" i="2" s="1"/>
  <c r="B4" i="9"/>
  <c r="V6" i="2" s="1"/>
  <c r="F3" i="9"/>
  <c r="E3" i="9"/>
  <c r="D3" i="9"/>
  <c r="C3" i="9"/>
  <c r="B3" i="9"/>
  <c r="V5" i="2" s="1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4" i="8"/>
  <c r="C4" i="8"/>
  <c r="B4" i="8"/>
  <c r="A4" i="8"/>
  <c r="D3" i="8"/>
  <c r="C3" i="8"/>
  <c r="B3" i="8"/>
  <c r="A3" i="8"/>
  <c r="D2" i="8"/>
  <c r="C2" i="8"/>
  <c r="B2" i="8"/>
  <c r="A2" i="8"/>
  <c r="F124" i="7"/>
  <c r="D124" i="7"/>
  <c r="F123" i="7"/>
  <c r="D123" i="7"/>
  <c r="F122" i="7"/>
  <c r="D122" i="7"/>
  <c r="F121" i="7"/>
  <c r="D121" i="7"/>
  <c r="F120" i="7"/>
  <c r="D120" i="7"/>
  <c r="F119" i="7"/>
  <c r="D119" i="7"/>
  <c r="F118" i="7"/>
  <c r="D118" i="7"/>
  <c r="F117" i="7"/>
  <c r="D117" i="7"/>
  <c r="F116" i="7"/>
  <c r="D116" i="7"/>
  <c r="F115" i="7"/>
  <c r="D115" i="7"/>
  <c r="F114" i="7"/>
  <c r="D114" i="7"/>
  <c r="F113" i="7"/>
  <c r="D113" i="7"/>
  <c r="F112" i="7"/>
  <c r="D112" i="7"/>
  <c r="F111" i="7"/>
  <c r="D111" i="7"/>
  <c r="F110" i="7"/>
  <c r="D110" i="7"/>
  <c r="F109" i="7"/>
  <c r="D109" i="7"/>
  <c r="F108" i="7"/>
  <c r="D108" i="7"/>
  <c r="F107" i="7"/>
  <c r="D107" i="7"/>
  <c r="F106" i="7"/>
  <c r="D106" i="7"/>
  <c r="F105" i="7"/>
  <c r="D105" i="7"/>
  <c r="F104" i="7"/>
  <c r="D104" i="7"/>
  <c r="F103" i="7"/>
  <c r="D103" i="7"/>
  <c r="F102" i="7"/>
  <c r="D102" i="7"/>
  <c r="F101" i="7"/>
  <c r="D101" i="7"/>
  <c r="F100" i="7"/>
  <c r="D100" i="7"/>
  <c r="F99" i="7"/>
  <c r="D99" i="7"/>
  <c r="F98" i="7"/>
  <c r="D98" i="7"/>
  <c r="F97" i="7"/>
  <c r="D97" i="7"/>
  <c r="F96" i="7"/>
  <c r="D96" i="7"/>
  <c r="F95" i="7"/>
  <c r="D95" i="7"/>
  <c r="F94" i="7"/>
  <c r="D94" i="7"/>
  <c r="F93" i="7"/>
  <c r="D93" i="7"/>
  <c r="F92" i="7"/>
  <c r="D92" i="7"/>
  <c r="F91" i="7"/>
  <c r="D91" i="7"/>
  <c r="F90" i="7"/>
  <c r="D90" i="7"/>
  <c r="F89" i="7"/>
  <c r="D89" i="7"/>
  <c r="F88" i="7"/>
  <c r="D88" i="7"/>
  <c r="F87" i="7"/>
  <c r="D87" i="7"/>
  <c r="F86" i="7"/>
  <c r="D86" i="7"/>
  <c r="F85" i="7"/>
  <c r="D85" i="7"/>
  <c r="F84" i="7"/>
  <c r="D84" i="7"/>
  <c r="F83" i="7"/>
  <c r="D83" i="7"/>
  <c r="F82" i="7"/>
  <c r="D82" i="7"/>
  <c r="F81" i="7"/>
  <c r="D81" i="7"/>
  <c r="F80" i="7"/>
  <c r="D80" i="7"/>
  <c r="F79" i="7"/>
  <c r="D79" i="7"/>
  <c r="F78" i="7"/>
  <c r="D78" i="7"/>
  <c r="F77" i="7"/>
  <c r="D77" i="7"/>
  <c r="F76" i="7"/>
  <c r="D76" i="7"/>
  <c r="F75" i="7"/>
  <c r="D75" i="7"/>
  <c r="F74" i="7"/>
  <c r="D74" i="7"/>
  <c r="F73" i="7"/>
  <c r="D73" i="7"/>
  <c r="F72" i="7"/>
  <c r="D72" i="7"/>
  <c r="F71" i="7"/>
  <c r="D71" i="7"/>
  <c r="F70" i="7"/>
  <c r="D70" i="7"/>
  <c r="F69" i="7"/>
  <c r="D69" i="7"/>
  <c r="F68" i="7"/>
  <c r="D68" i="7"/>
  <c r="F67" i="7"/>
  <c r="D67" i="7"/>
  <c r="F66" i="7"/>
  <c r="D66" i="7"/>
  <c r="F65" i="7"/>
  <c r="D65" i="7"/>
  <c r="F64" i="7"/>
  <c r="D64" i="7"/>
  <c r="F63" i="7"/>
  <c r="D63" i="7"/>
  <c r="F62" i="7"/>
  <c r="D62" i="7"/>
  <c r="F61" i="7"/>
  <c r="D61" i="7"/>
  <c r="F60" i="7"/>
  <c r="D60" i="7"/>
  <c r="F59" i="7"/>
  <c r="D59" i="7"/>
  <c r="F58" i="7"/>
  <c r="D58" i="7"/>
  <c r="F57" i="7"/>
  <c r="D57" i="7"/>
  <c r="F56" i="7"/>
  <c r="D56" i="7"/>
  <c r="F55" i="7"/>
  <c r="D55" i="7"/>
  <c r="D54" i="7"/>
  <c r="F54" i="7" s="1"/>
  <c r="D53" i="7"/>
  <c r="F53" i="7" s="1"/>
  <c r="D52" i="7"/>
  <c r="F52" i="7" s="1"/>
  <c r="D51" i="7"/>
  <c r="F51" i="7" s="1"/>
  <c r="D50" i="7"/>
  <c r="F50" i="7" s="1"/>
  <c r="D49" i="7"/>
  <c r="F49" i="7" s="1"/>
  <c r="D48" i="7"/>
  <c r="F48" i="7" s="1"/>
  <c r="D47" i="7"/>
  <c r="F47" i="7" s="1"/>
  <c r="D46" i="7"/>
  <c r="F46" i="7" s="1"/>
  <c r="D45" i="7"/>
  <c r="F45" i="7" s="1"/>
  <c r="D44" i="7"/>
  <c r="F44" i="7" s="1"/>
  <c r="D43" i="7"/>
  <c r="F43" i="7" s="1"/>
  <c r="D42" i="7"/>
  <c r="F42" i="7" s="1"/>
  <c r="D41" i="7"/>
  <c r="F41" i="7" s="1"/>
  <c r="D40" i="7"/>
  <c r="F40" i="7" s="1"/>
  <c r="D39" i="7"/>
  <c r="F39" i="7" s="1"/>
  <c r="D38" i="7"/>
  <c r="F38" i="7" s="1"/>
  <c r="D37" i="7"/>
  <c r="F37" i="7" s="1"/>
  <c r="D36" i="7"/>
  <c r="F36" i="7" s="1"/>
  <c r="D35" i="7"/>
  <c r="F35" i="7" s="1"/>
  <c r="D34" i="7"/>
  <c r="F34" i="7" s="1"/>
  <c r="D33" i="7"/>
  <c r="F33" i="7" s="1"/>
  <c r="D32" i="7"/>
  <c r="F32" i="7" s="1"/>
  <c r="D31" i="7"/>
  <c r="F31" i="7" s="1"/>
  <c r="D30" i="7"/>
  <c r="F30" i="7" s="1"/>
  <c r="D29" i="7"/>
  <c r="F29" i="7" s="1"/>
  <c r="D28" i="7"/>
  <c r="F28" i="7" s="1"/>
  <c r="D27" i="7"/>
  <c r="F27" i="7" s="1"/>
  <c r="D26" i="7"/>
  <c r="F26" i="7" s="1"/>
  <c r="D25" i="7"/>
  <c r="F25" i="7" s="1"/>
  <c r="D24" i="7"/>
  <c r="F24" i="7" s="1"/>
  <c r="D23" i="7"/>
  <c r="F23" i="7" s="1"/>
  <c r="D22" i="7"/>
  <c r="F22" i="7" s="1"/>
  <c r="D21" i="7"/>
  <c r="F21" i="7" s="1"/>
  <c r="D20" i="7"/>
  <c r="F20" i="7" s="1"/>
  <c r="D19" i="7"/>
  <c r="F19" i="7" s="1"/>
  <c r="D18" i="7"/>
  <c r="F18" i="7" s="1"/>
  <c r="D17" i="7"/>
  <c r="F17" i="7" s="1"/>
  <c r="D16" i="7"/>
  <c r="F16" i="7" s="1"/>
  <c r="D15" i="7"/>
  <c r="F15" i="7" s="1"/>
  <c r="D14" i="7"/>
  <c r="F14" i="7" s="1"/>
  <c r="D13" i="7"/>
  <c r="F13" i="7" s="1"/>
  <c r="D12" i="7"/>
  <c r="F12" i="7" s="1"/>
  <c r="D11" i="7"/>
  <c r="F11" i="7" s="1"/>
  <c r="D10" i="7"/>
  <c r="F10" i="7" s="1"/>
  <c r="D9" i="7"/>
  <c r="F9" i="7" s="1"/>
  <c r="D8" i="7"/>
  <c r="F8" i="7" s="1"/>
  <c r="D7" i="7"/>
  <c r="F7" i="7" s="1"/>
  <c r="D6" i="7"/>
  <c r="F6" i="7" s="1"/>
  <c r="D5" i="7"/>
  <c r="F5" i="7" s="1"/>
  <c r="F2" i="7"/>
  <c r="A2" i="7"/>
  <c r="L38" i="6"/>
  <c r="K38" i="6"/>
  <c r="L37" i="6"/>
  <c r="K37" i="6"/>
  <c r="L36" i="6"/>
  <c r="K36" i="6"/>
  <c r="L35" i="6"/>
  <c r="K35" i="6"/>
  <c r="L34" i="6"/>
  <c r="K34" i="6"/>
  <c r="L33" i="6"/>
  <c r="K33" i="6"/>
  <c r="L29" i="6"/>
  <c r="K29" i="6"/>
  <c r="L28" i="6"/>
  <c r="K28" i="6"/>
  <c r="L27" i="6"/>
  <c r="K27" i="6"/>
  <c r="L22" i="6"/>
  <c r="L21" i="6"/>
  <c r="L20" i="6"/>
  <c r="L19" i="6"/>
  <c r="I2" i="6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C27" i="3"/>
  <c r="I26" i="3"/>
  <c r="H26" i="3"/>
  <c r="G26" i="3"/>
  <c r="F26" i="3"/>
  <c r="E26" i="3"/>
  <c r="J26" i="3" s="1"/>
  <c r="I25" i="3"/>
  <c r="H25" i="3"/>
  <c r="G25" i="3"/>
  <c r="F25" i="3"/>
  <c r="E25" i="3"/>
  <c r="I24" i="3"/>
  <c r="H24" i="3"/>
  <c r="G24" i="3"/>
  <c r="F24" i="3"/>
  <c r="E24" i="3"/>
  <c r="E23" i="3"/>
  <c r="C19" i="9" s="1"/>
  <c r="W21" i="2" s="1"/>
  <c r="E22" i="3"/>
  <c r="C18" i="9" s="1"/>
  <c r="W20" i="2" s="1"/>
  <c r="E21" i="3"/>
  <c r="C17" i="9" s="1"/>
  <c r="W19" i="2" s="1"/>
  <c r="E20" i="3"/>
  <c r="C16" i="9" s="1"/>
  <c r="W18" i="2" s="1"/>
  <c r="E19" i="3"/>
  <c r="C15" i="9" s="1"/>
  <c r="W17" i="2" s="1"/>
  <c r="E18" i="3"/>
  <c r="E17" i="3"/>
  <c r="E16" i="3"/>
  <c r="E15" i="3"/>
  <c r="E14" i="3"/>
  <c r="E13" i="3"/>
  <c r="E12" i="3"/>
  <c r="E11" i="3"/>
  <c r="E10" i="3"/>
  <c r="E9" i="3"/>
  <c r="E8" i="3"/>
  <c r="E7" i="3"/>
  <c r="B4" i="3"/>
  <c r="J2" i="3"/>
  <c r="W48" i="2"/>
  <c r="V48" i="2"/>
  <c r="V47" i="2"/>
  <c r="V28" i="2"/>
  <c r="B14" i="2"/>
  <c r="B6" i="2"/>
  <c r="E5" i="9" l="1"/>
  <c r="G9" i="3" s="1"/>
  <c r="K2" i="5"/>
  <c r="C20" i="9"/>
  <c r="W22" i="2" s="1"/>
  <c r="J24" i="3"/>
  <c r="E50" i="9"/>
  <c r="X44" i="2" s="1"/>
  <c r="C50" i="9"/>
  <c r="V44" i="2" s="1"/>
  <c r="C47" i="9"/>
  <c r="V41" i="2" s="1"/>
  <c r="E47" i="9"/>
  <c r="X41" i="2" s="1"/>
  <c r="C46" i="9"/>
  <c r="V40" i="2" s="1"/>
  <c r="E46" i="9"/>
  <c r="X40" i="2" s="1"/>
  <c r="C45" i="9"/>
  <c r="V39" i="2" s="1"/>
  <c r="E45" i="9"/>
  <c r="X39" i="2" s="1"/>
  <c r="C43" i="9"/>
  <c r="V37" i="2" s="1"/>
  <c r="E43" i="9"/>
  <c r="X37" i="2" s="1"/>
  <c r="D43" i="9"/>
  <c r="W37" i="2" s="1"/>
  <c r="C42" i="9"/>
  <c r="V36" i="2" s="1"/>
  <c r="D42" i="9"/>
  <c r="W36" i="2" s="1"/>
  <c r="E42" i="9"/>
  <c r="X36" i="2" s="1"/>
  <c r="E41" i="9"/>
  <c r="X35" i="2" s="1"/>
  <c r="D41" i="9"/>
  <c r="W35" i="2" s="1"/>
  <c r="C41" i="9"/>
  <c r="V35" i="2" s="1"/>
  <c r="D40" i="9"/>
  <c r="W34" i="2" s="1"/>
  <c r="C40" i="9"/>
  <c r="V34" i="2" s="1"/>
  <c r="E40" i="9"/>
  <c r="X34" i="2" s="1"/>
  <c r="E39" i="9"/>
  <c r="X33" i="2" s="1"/>
  <c r="D39" i="9"/>
  <c r="W33" i="2" s="1"/>
  <c r="C39" i="9"/>
  <c r="V33" i="2" s="1"/>
  <c r="D38" i="9"/>
  <c r="W32" i="2" s="1"/>
  <c r="C38" i="9"/>
  <c r="V32" i="2" s="1"/>
  <c r="E38" i="9"/>
  <c r="X32" i="2" s="1"/>
  <c r="D37" i="9"/>
  <c r="W31" i="2" s="1"/>
  <c r="C37" i="9"/>
  <c r="V31" i="2" s="1"/>
  <c r="E37" i="9"/>
  <c r="X31" i="2" s="1"/>
  <c r="E36" i="9"/>
  <c r="X30" i="2" s="1"/>
  <c r="C36" i="9"/>
  <c r="V30" i="2" s="1"/>
  <c r="D36" i="9"/>
  <c r="W30" i="2" s="1"/>
  <c r="E35" i="9"/>
  <c r="X29" i="2" s="1"/>
  <c r="D35" i="9"/>
  <c r="W29" i="2" s="1"/>
  <c r="C35" i="9"/>
  <c r="V29" i="2" s="1"/>
  <c r="L10" i="2"/>
  <c r="W53" i="2"/>
  <c r="F9" i="3"/>
  <c r="X7" i="2"/>
  <c r="F8" i="3"/>
  <c r="X6" i="2"/>
  <c r="H7" i="3"/>
  <c r="G7" i="3"/>
  <c r="X5" i="2"/>
  <c r="F7" i="3"/>
  <c r="C23" i="9"/>
  <c r="W5" i="2"/>
  <c r="D99" i="9"/>
  <c r="E99" i="9"/>
  <c r="F99" i="9" a="1"/>
  <c r="F99" i="9" s="1"/>
  <c r="K44" i="5" s="1"/>
  <c r="C99" i="9"/>
  <c r="E98" i="9"/>
  <c r="C98" i="9"/>
  <c r="F98" i="9" a="1"/>
  <c r="F98" i="9" s="1"/>
  <c r="K43" i="5" s="1"/>
  <c r="D98" i="9"/>
  <c r="D97" i="9"/>
  <c r="E97" i="9"/>
  <c r="C97" i="9"/>
  <c r="F97" i="9" a="1"/>
  <c r="F97" i="9" s="1"/>
  <c r="K42" i="5" s="1"/>
  <c r="C96" i="9"/>
  <c r="E96" i="9"/>
  <c r="F96" i="9" a="1"/>
  <c r="F96" i="9" s="1"/>
  <c r="K41" i="5" s="1"/>
  <c r="D96" i="9"/>
  <c r="E95" i="9"/>
  <c r="C95" i="9"/>
  <c r="D95" i="9"/>
  <c r="F95" i="9" a="1"/>
  <c r="F95" i="9" s="1"/>
  <c r="K40" i="5" s="1"/>
  <c r="E94" i="9"/>
  <c r="C94" i="9"/>
  <c r="F94" i="9" a="1"/>
  <c r="F94" i="9" s="1"/>
  <c r="K39" i="5" s="1"/>
  <c r="D94" i="9"/>
  <c r="E93" i="9"/>
  <c r="F93" i="9" a="1"/>
  <c r="F93" i="9" s="1"/>
  <c r="K38" i="5" s="1"/>
  <c r="C93" i="9"/>
  <c r="D93" i="9"/>
  <c r="F92" i="9" a="1"/>
  <c r="F92" i="9" s="1"/>
  <c r="K37" i="5" s="1"/>
  <c r="C92" i="9"/>
  <c r="D92" i="9"/>
  <c r="E92" i="9"/>
  <c r="F91" i="9" a="1"/>
  <c r="F91" i="9" s="1"/>
  <c r="K36" i="5" s="1"/>
  <c r="C91" i="9"/>
  <c r="E91" i="9"/>
  <c r="D91" i="9"/>
  <c r="C90" i="9"/>
  <c r="D90" i="9"/>
  <c r="E90" i="9"/>
  <c r="F90" i="9" a="1"/>
  <c r="F90" i="9" s="1"/>
  <c r="K35" i="5" s="1"/>
  <c r="E89" i="9"/>
  <c r="D89" i="9"/>
  <c r="C89" i="9"/>
  <c r="F89" i="9" a="1"/>
  <c r="F89" i="9" s="1"/>
  <c r="K34" i="5" s="1"/>
  <c r="F88" i="9" a="1"/>
  <c r="F88" i="9" s="1"/>
  <c r="K33" i="5" s="1"/>
  <c r="D88" i="9"/>
  <c r="E88" i="9"/>
  <c r="C88" i="9"/>
  <c r="C87" i="9"/>
  <c r="F87" i="9" a="1"/>
  <c r="F87" i="9" s="1"/>
  <c r="K32" i="5" s="1"/>
  <c r="D87" i="9"/>
  <c r="E87" i="9"/>
  <c r="E86" i="9"/>
  <c r="C86" i="9"/>
  <c r="D86" i="9"/>
  <c r="F86" i="9" a="1"/>
  <c r="F86" i="9" s="1"/>
  <c r="K31" i="5" s="1"/>
  <c r="E13" i="9"/>
  <c r="G17" i="3" s="1"/>
  <c r="D13" i="9"/>
  <c r="F12" i="9"/>
  <c r="H16" i="3" s="1"/>
  <c r="E12" i="9"/>
  <c r="G16" i="3" s="1"/>
  <c r="D12" i="9"/>
  <c r="F11" i="9"/>
  <c r="H15" i="3" s="1"/>
  <c r="E11" i="9"/>
  <c r="G15" i="3" s="1"/>
  <c r="D11" i="9"/>
  <c r="F10" i="9"/>
  <c r="H14" i="3" s="1"/>
  <c r="E8" i="9"/>
  <c r="G12" i="3" s="1"/>
  <c r="E71" i="9"/>
  <c r="F67" i="9" a="1"/>
  <c r="F67" i="9" s="1"/>
  <c r="K12" i="5" s="1"/>
  <c r="E61" i="9"/>
  <c r="D50" i="9"/>
  <c r="W44" i="2" s="1"/>
  <c r="E21" i="9"/>
  <c r="E17" i="9"/>
  <c r="G21" i="3" s="1"/>
  <c r="F7" i="9"/>
  <c r="H11" i="3" s="1"/>
  <c r="C75" i="9"/>
  <c r="D71" i="9"/>
  <c r="E67" i="9"/>
  <c r="F60" i="9" a="1"/>
  <c r="F60" i="9" s="1"/>
  <c r="K5" i="5" s="1"/>
  <c r="E44" i="9"/>
  <c r="X38" i="2" s="1"/>
  <c r="F17" i="9"/>
  <c r="H21" i="3" s="1"/>
  <c r="D8" i="9"/>
  <c r="F73" i="9" a="1"/>
  <c r="F73" i="9" s="1"/>
  <c r="K18" i="5" s="1"/>
  <c r="D70" i="9"/>
  <c r="D64" i="9"/>
  <c r="D60" i="9"/>
  <c r="I5" i="5" s="1"/>
  <c r="J5" i="5" s="1"/>
  <c r="E22" i="9"/>
  <c r="D17" i="9"/>
  <c r="E7" i="9"/>
  <c r="G11" i="3" s="1"/>
  <c r="E74" i="9"/>
  <c r="F70" i="9" a="1"/>
  <c r="F70" i="9" s="1"/>
  <c r="K15" i="5" s="1"/>
  <c r="F64" i="9" a="1"/>
  <c r="F64" i="9" s="1"/>
  <c r="K9" i="5" s="1"/>
  <c r="D61" i="9"/>
  <c r="E48" i="9"/>
  <c r="X42" i="2" s="1"/>
  <c r="E20" i="9"/>
  <c r="D15" i="9"/>
  <c r="E85" i="9"/>
  <c r="F84" i="9" a="1"/>
  <c r="F84" i="9" s="1"/>
  <c r="K29" i="5" s="1"/>
  <c r="F82" i="9" a="1"/>
  <c r="F82" i="9" s="1"/>
  <c r="K27" i="5" s="1"/>
  <c r="F80" i="9" a="1"/>
  <c r="F80" i="9" s="1"/>
  <c r="K25" i="5" s="1"/>
  <c r="D77" i="9"/>
  <c r="D74" i="9"/>
  <c r="E70" i="9"/>
  <c r="E64" i="9"/>
  <c r="E60" i="9"/>
  <c r="D49" i="9"/>
  <c r="W43" i="2" s="1"/>
  <c r="F20" i="9"/>
  <c r="F15" i="9"/>
  <c r="H19" i="3" s="1"/>
  <c r="D6" i="9"/>
  <c r="D23" i="9" s="1"/>
  <c r="C84" i="9"/>
  <c r="D82" i="9"/>
  <c r="C79" i="9"/>
  <c r="C76" i="9"/>
  <c r="F72" i="9" a="1"/>
  <c r="F72" i="9" s="1"/>
  <c r="K17" i="5" s="1"/>
  <c r="C69" i="9"/>
  <c r="F62" i="9" a="1"/>
  <c r="F62" i="9" s="1"/>
  <c r="K7" i="5" s="1"/>
  <c r="E52" i="9"/>
  <c r="X46" i="2" s="1"/>
  <c r="D22" i="9"/>
  <c r="X24" i="2" s="1"/>
  <c r="D16" i="9"/>
  <c r="F5" i="9"/>
  <c r="D73" i="9"/>
  <c r="F69" i="9" a="1"/>
  <c r="F69" i="9" s="1"/>
  <c r="K14" i="5" s="1"/>
  <c r="F63" i="9" a="1"/>
  <c r="F63" i="9" s="1"/>
  <c r="K8" i="5" s="1"/>
  <c r="E54" i="9"/>
  <c r="X48" i="2" s="1"/>
  <c r="D45" i="9"/>
  <c r="W39" i="2" s="1"/>
  <c r="E18" i="9"/>
  <c r="G22" i="3" s="1"/>
  <c r="F6" i="9"/>
  <c r="H10" i="3" s="1"/>
  <c r="C83" i="9"/>
  <c r="D81" i="9"/>
  <c r="F77" i="9" a="1"/>
  <c r="F77" i="9" s="1"/>
  <c r="K22" i="5" s="1"/>
  <c r="D75" i="9"/>
  <c r="C71" i="9"/>
  <c r="C65" i="9"/>
  <c r="C61" i="9"/>
  <c r="D47" i="9"/>
  <c r="W41" i="2" s="1"/>
  <c r="F19" i="9"/>
  <c r="H23" i="3" s="1"/>
  <c r="E9" i="9"/>
  <c r="G13" i="3" s="1"/>
  <c r="C85" i="9"/>
  <c r="D84" i="9"/>
  <c r="E82" i="9"/>
  <c r="F78" i="9" a="1"/>
  <c r="F78" i="9" s="1"/>
  <c r="K23" i="5" s="1"/>
  <c r="E76" i="9"/>
  <c r="C73" i="9"/>
  <c r="D69" i="9"/>
  <c r="E63" i="9"/>
  <c r="D48" i="9"/>
  <c r="W42" i="2" s="1"/>
  <c r="D20" i="9"/>
  <c r="X22" i="2" s="1"/>
  <c r="E10" i="9"/>
  <c r="G14" i="3" s="1"/>
  <c r="H2" i="4"/>
  <c r="G3" i="2" s="1"/>
  <c r="D85" i="9"/>
  <c r="E84" i="9"/>
  <c r="C82" i="9"/>
  <c r="E80" i="9"/>
  <c r="F76" i="9" a="1"/>
  <c r="F76" i="9" s="1"/>
  <c r="K21" i="5" s="1"/>
  <c r="C74" i="9"/>
  <c r="C70" i="9"/>
  <c r="C64" i="9"/>
  <c r="C60" i="9"/>
  <c r="G60" i="9" s="1"/>
  <c r="D46" i="9"/>
  <c r="W40" i="2" s="1"/>
  <c r="E19" i="9"/>
  <c r="G23" i="3" s="1"/>
  <c r="F9" i="9"/>
  <c r="H13" i="3" s="1"/>
  <c r="F85" i="9" a="1"/>
  <c r="F85" i="9" s="1"/>
  <c r="K30" i="5" s="1"/>
  <c r="D83" i="9"/>
  <c r="C81" i="9"/>
  <c r="C77" i="9"/>
  <c r="E73" i="9"/>
  <c r="E69" i="9"/>
  <c r="C62" i="9"/>
  <c r="E77" i="9"/>
  <c r="E51" i="9"/>
  <c r="X45" i="2" s="1"/>
  <c r="F21" i="9"/>
  <c r="E15" i="9"/>
  <c r="G19" i="3" s="1"/>
  <c r="F74" i="9" a="1"/>
  <c r="F74" i="9" s="1"/>
  <c r="K19" i="5" s="1"/>
  <c r="F71" i="9" a="1"/>
  <c r="F71" i="9" s="1"/>
  <c r="K16" i="5" s="1"/>
  <c r="D68" i="9"/>
  <c r="D62" i="9"/>
  <c r="D53" i="9"/>
  <c r="W47" i="2" s="1"/>
  <c r="D44" i="9"/>
  <c r="W38" i="2" s="1"/>
  <c r="F18" i="9"/>
  <c r="H22" i="3" s="1"/>
  <c r="D9" i="9"/>
  <c r="E83" i="9"/>
  <c r="E81" i="9"/>
  <c r="D78" i="9"/>
  <c r="D7" i="9"/>
  <c r="F75" i="9" a="1"/>
  <c r="F75" i="9" s="1"/>
  <c r="K20" i="5" s="1"/>
  <c r="D72" i="9"/>
  <c r="C68" i="9"/>
  <c r="C63" i="9"/>
  <c r="D51" i="9"/>
  <c r="W45" i="2" s="1"/>
  <c r="C25" i="9"/>
  <c r="D18" i="9"/>
  <c r="F8" i="9"/>
  <c r="H12" i="3" s="1"/>
  <c r="D80" i="9"/>
  <c r="C80" i="9"/>
  <c r="F79" i="9" a="1"/>
  <c r="F79" i="9" s="1"/>
  <c r="K24" i="5" s="1"/>
  <c r="E79" i="9"/>
  <c r="D79" i="9"/>
  <c r="C78" i="9"/>
  <c r="E75" i="9"/>
  <c r="C72" i="9"/>
  <c r="F68" i="9" a="1"/>
  <c r="F68" i="9" s="1"/>
  <c r="K13" i="5" s="1"/>
  <c r="D63" i="9"/>
  <c r="E53" i="9"/>
  <c r="X47" i="2" s="1"/>
  <c r="C26" i="9"/>
  <c r="D19" i="9"/>
  <c r="D10" i="9"/>
  <c r="D67" i="9"/>
  <c r="C67" i="9"/>
  <c r="F66" i="9" a="1"/>
  <c r="F66" i="9" s="1"/>
  <c r="K11" i="5" s="1"/>
  <c r="E66" i="9"/>
  <c r="D66" i="9"/>
  <c r="C66" i="9"/>
  <c r="F65" i="9" a="1"/>
  <c r="F65" i="9" s="1"/>
  <c r="K10" i="5" s="1"/>
  <c r="E65" i="9"/>
  <c r="D65" i="9"/>
  <c r="E62" i="9"/>
  <c r="D52" i="9"/>
  <c r="W46" i="2" s="1"/>
  <c r="F22" i="9"/>
  <c r="E16" i="9"/>
  <c r="G20" i="3" s="1"/>
  <c r="E6" i="9"/>
  <c r="E34" i="9"/>
  <c r="X28" i="2" s="1"/>
  <c r="D34" i="9"/>
  <c r="C30" i="9" a="1"/>
  <c r="C30" i="9" s="1"/>
  <c r="L14" i="2" s="1"/>
  <c r="C29" i="9"/>
  <c r="B21" i="2" s="1"/>
  <c r="C28" i="9"/>
  <c r="G14" i="2" s="1"/>
  <c r="F14" i="9"/>
  <c r="H18" i="3" s="1"/>
  <c r="F83" i="9" a="1"/>
  <c r="F83" i="9" s="1"/>
  <c r="K28" i="5" s="1"/>
  <c r="E14" i="9"/>
  <c r="G18" i="3" s="1"/>
  <c r="F81" i="9" a="1"/>
  <c r="F81" i="9" s="1"/>
  <c r="K26" i="5" s="1"/>
  <c r="E78" i="9"/>
  <c r="D76" i="9"/>
  <c r="E72" i="9"/>
  <c r="E68" i="9"/>
  <c r="D14" i="9"/>
  <c r="F61" i="9" a="1"/>
  <c r="F61" i="9" s="1"/>
  <c r="K6" i="5" s="1"/>
  <c r="F13" i="9"/>
  <c r="H17" i="3" s="1"/>
  <c r="E49" i="9"/>
  <c r="X43" i="2" s="1"/>
  <c r="D21" i="9"/>
  <c r="X23" i="2" s="1"/>
  <c r="F16" i="9"/>
  <c r="H20" i="3" s="1"/>
  <c r="L30" i="6"/>
  <c r="L23" i="6"/>
  <c r="L39" i="6"/>
  <c r="B18" i="2"/>
  <c r="E27" i="3"/>
  <c r="J25" i="3"/>
  <c r="I9" i="3" l="1"/>
  <c r="J9" i="3"/>
  <c r="X15" i="2"/>
  <c r="F17" i="3"/>
  <c r="X14" i="2"/>
  <c r="F16" i="3"/>
  <c r="X13" i="2"/>
  <c r="F15" i="3"/>
  <c r="X10" i="2"/>
  <c r="F12" i="3"/>
  <c r="X19" i="2"/>
  <c r="F21" i="3"/>
  <c r="X17" i="2"/>
  <c r="F19" i="3"/>
  <c r="X8" i="2"/>
  <c r="F10" i="3"/>
  <c r="X18" i="2"/>
  <c r="F20" i="3"/>
  <c r="C108" i="9"/>
  <c r="D108" i="9" s="1"/>
  <c r="B108" i="9" s="1"/>
  <c r="C109" i="9"/>
  <c r="D109" i="9" s="1"/>
  <c r="B109" i="9" s="1"/>
  <c r="C107" i="9"/>
  <c r="D107" i="9" s="1"/>
  <c r="B107" i="9" s="1"/>
  <c r="C105" i="9"/>
  <c r="D105" i="9" s="1"/>
  <c r="B105" i="9" s="1"/>
  <c r="C104" i="9"/>
  <c r="D104" i="9" s="1"/>
  <c r="B104" i="9" s="1"/>
  <c r="C110" i="9"/>
  <c r="D110" i="9" s="1"/>
  <c r="B110" i="9" s="1"/>
  <c r="C106" i="9"/>
  <c r="D106" i="9" s="1"/>
  <c r="B106" i="9" s="1"/>
  <c r="C103" i="9"/>
  <c r="D103" i="9" s="1"/>
  <c r="B103" i="9" s="1"/>
  <c r="X11" i="2"/>
  <c r="F13" i="3"/>
  <c r="X9" i="2"/>
  <c r="F11" i="3"/>
  <c r="F27" i="3" s="1"/>
  <c r="J27" i="3" s="1"/>
  <c r="G6" i="2"/>
  <c r="L6" i="2"/>
  <c r="B10" i="2"/>
  <c r="W54" i="2"/>
  <c r="X20" i="2"/>
  <c r="F22" i="3"/>
  <c r="G10" i="2"/>
  <c r="W52" i="2"/>
  <c r="X21" i="2"/>
  <c r="F23" i="3"/>
  <c r="X12" i="2"/>
  <c r="F14" i="3"/>
  <c r="W28" i="2"/>
  <c r="D55" i="9"/>
  <c r="X16" i="2"/>
  <c r="F18" i="3"/>
  <c r="L24" i="6"/>
  <c r="G18" i="2" s="1"/>
  <c r="A29" i="3"/>
  <c r="D4" i="3"/>
  <c r="F4" i="3"/>
  <c r="J8" i="3"/>
  <c r="I8" i="3"/>
  <c r="J7" i="3"/>
  <c r="I7" i="3"/>
  <c r="H9" i="3"/>
  <c r="H27" i="3" s="1"/>
  <c r="F23" i="9"/>
  <c r="G10" i="3"/>
  <c r="G27" i="3" s="1"/>
  <c r="E23" i="9"/>
  <c r="I17" i="3" l="1"/>
  <c r="J17" i="3"/>
  <c r="I16" i="3"/>
  <c r="J16" i="3"/>
  <c r="I15" i="3"/>
  <c r="J15" i="3"/>
  <c r="J12" i="3"/>
  <c r="I12" i="3"/>
  <c r="I21" i="3"/>
  <c r="J21" i="3"/>
  <c r="J19" i="3"/>
  <c r="I19" i="3"/>
  <c r="I10" i="3"/>
  <c r="J10" i="3"/>
  <c r="I20" i="3"/>
  <c r="J20" i="3"/>
  <c r="E108" i="9"/>
  <c r="W63" i="2" s="1"/>
  <c r="F108" i="9"/>
  <c r="X63" i="2" s="1"/>
  <c r="V63" i="2"/>
  <c r="V64" i="2"/>
  <c r="E109" i="9"/>
  <c r="W64" i="2" s="1"/>
  <c r="F109" i="9"/>
  <c r="X64" i="2" s="1"/>
  <c r="E107" i="9"/>
  <c r="W62" i="2" s="1"/>
  <c r="F107" i="9"/>
  <c r="X62" i="2" s="1"/>
  <c r="V62" i="2"/>
  <c r="E105" i="9"/>
  <c r="W60" i="2" s="1"/>
  <c r="F105" i="9"/>
  <c r="X60" i="2" s="1"/>
  <c r="V60" i="2"/>
  <c r="F104" i="9"/>
  <c r="X59" i="2" s="1"/>
  <c r="E104" i="9"/>
  <c r="W59" i="2" s="1"/>
  <c r="V59" i="2"/>
  <c r="F110" i="9"/>
  <c r="X65" i="2" s="1"/>
  <c r="V65" i="2"/>
  <c r="E110" i="9"/>
  <c r="W65" i="2" s="1"/>
  <c r="V61" i="2"/>
  <c r="E106" i="9"/>
  <c r="W61" i="2" s="1"/>
  <c r="F106" i="9"/>
  <c r="X61" i="2" s="1"/>
  <c r="V58" i="2"/>
  <c r="E103" i="9"/>
  <c r="W58" i="2" s="1"/>
  <c r="F103" i="9"/>
  <c r="X58" i="2" s="1"/>
  <c r="I13" i="3"/>
  <c r="J13" i="3"/>
  <c r="I11" i="3"/>
  <c r="J11" i="3"/>
  <c r="I22" i="3"/>
  <c r="J22" i="3"/>
  <c r="I23" i="3"/>
  <c r="J23" i="3"/>
  <c r="I14" i="3"/>
  <c r="J14" i="3"/>
  <c r="J18" i="3"/>
  <c r="I18" i="3"/>
  <c r="I27" i="3" l="1"/>
</calcChain>
</file>

<file path=xl/sharedStrings.xml><?xml version="1.0" encoding="utf-8"?>
<sst xmlns="http://schemas.openxmlformats.org/spreadsheetml/2006/main" count="313" uniqueCount="255">
  <si>
    <t>Wedding Budget Planner &amp; Tracker</t>
  </si>
  <si>
    <t>Budget, payments, vendors, guest list and a 12-month checklist in one workbook. Works in Excel and Google Sheets.</t>
  </si>
  <si>
    <t>QUICK START (10 minutes)</t>
  </si>
  <si>
    <t>1. 'Dashboard': type your wedding date and total budget in the two yellow cells at the top. Everything else counts from them.</t>
  </si>
  <si>
    <t>2. 'Budget': each category gets a share of your total (typical % shown for guidance). Change 'Your %' to suit you,</t>
  </si>
  <si>
    <t xml:space="preserve">    or type a fixed dollar amount (e.g. a quote you already have) and it replaces the % for that category.</t>
  </si>
  <si>
    <t>3. 'Vendors': one row per vendor: contact details, status, contract total and deposit. Paid so far, balance and next due date fill in.</t>
  </si>
  <si>
    <t>4. 'Payments': log every deposit, payment and invoice. Status 'Paid' = money gone; 'Owed' = still to pay (add the due date).</t>
  </si>
  <si>
    <t xml:space="preserve">    Owed payments past their due date turn orange. Refund or credit? Enter a negative amount.</t>
  </si>
  <si>
    <t>5. 'Guest List': one row per invited guest; RSVP, meal, plus-one and table. Headcounts and a catering estimate update live.</t>
  </si>
  <si>
    <t xml:space="preserve">    Your side names, meal options and catering cost per guest are the yellow cells on the right of that tab.</t>
  </si>
  <si>
    <t>6. 'Checklist': 50 planning tasks with due dates counted back from your wedding date. Mark 'Yes' when done; add your own tasks.</t>
  </si>
  <si>
    <t>7. Red cells mean a row needs fixing (text in an amount, a date that isn't a date, a category or vendor not on your list).</t>
  </si>
  <si>
    <t xml:space="preserve">    That row stays out of the totals until fixed. The count shows at the top of each tab and on the Dashboard.</t>
  </si>
  <si>
    <t>8. Delete the EXAMPLE rows first. Room for 500 payments, 40 vendors, 500 guests and 120 tasks.</t>
  </si>
  <si>
    <t xml:space="preserve">    Need more? Right-click a row number in the middle of a list &gt; Insert; totals expand automatically.</t>
  </si>
  <si>
    <t>HOW THE NUMBERS WORK</t>
  </si>
  <si>
    <t>Committed = everything paid + everything still owed. Remaining = total budget - committed. % used = committed / total budget.</t>
  </si>
  <si>
    <t>Budget per category = total budget x your %, unless you typed a fixed amount. 'Unallocated' on the Budget tab shows what is left to assign.</t>
  </si>
  <si>
    <t>Guests attending = 'Yes' RSVPs plus their plus-ones. Catering estimate = (attending + not yet replied) x cost per guest.</t>
  </si>
  <si>
    <t>Checklist due date = wedding date minus the months in 'Months before' (0.5 = 2 weeks, 0.25 = 1 week, -1 = a month after).</t>
  </si>
  <si>
    <t>COLOR KEY</t>
  </si>
  <si>
    <t>Yellow cells = you type here.  White cells = formulas, leave them alone.  Red = fix this.  Orange = overdue or over budget.</t>
  </si>
  <si>
    <t>USING GOOGLE SHEETS?</t>
  </si>
  <si>
    <t>Open sheets.google.com &gt; File &gt; Import &gt; Upload this .xlsx &gt; 'Replace spreadsheet'. Formulas and dropdowns carry over.</t>
  </si>
  <si>
    <t>Questions or a formula not behaving? Email nora@qnsai.com. Made by Nora Studio. Congratulations!</t>
  </si>
  <si>
    <t>Wedding Dashboard</t>
  </si>
  <si>
    <t>Wedding date:</t>
  </si>
  <si>
    <t>Total budget:</t>
  </si>
  <si>
    <t>Chart data (do not edit)</t>
  </si>
  <si>
    <t>Category</t>
  </si>
  <si>
    <t>Budget</t>
  </si>
  <si>
    <t>Committed</t>
  </si>
  <si>
    <t>TOTAL BUDGET</t>
  </si>
  <si>
    <t>COMMITTED (PAID + OWED)</t>
  </si>
  <si>
    <t>REMAINING</t>
  </si>
  <si>
    <t>% OF BUDGET USED</t>
  </si>
  <si>
    <t>PAID SO FAR</t>
  </si>
  <si>
    <t>STILL OWED</t>
  </si>
  <si>
    <t>DAYS TO THE WEDDING</t>
  </si>
  <si>
    <t>OVERDUE PAYMENTS</t>
  </si>
  <si>
    <t>NEXT PAYMENT DUE</t>
  </si>
  <si>
    <t>GUESTS ATTENDING</t>
  </si>
  <si>
    <t>CATERING ESTIMATE</t>
  </si>
  <si>
    <t>CHECKLIST DONE</t>
  </si>
  <si>
    <t>Committed = paid + still owed. Catering estimate = (attending + not replied) x cost per guest (Guest List tab).</t>
  </si>
  <si>
    <t>Month</t>
  </si>
  <si>
    <t>Paid</t>
  </si>
  <si>
    <t>Owed (by due date)</t>
  </si>
  <si>
    <t>Status</t>
  </si>
  <si>
    <t>Amount</t>
  </si>
  <si>
    <t>Still owed</t>
  </si>
  <si>
    <t>Not yet committed</t>
  </si>
  <si>
    <t>Vendor</t>
  </si>
  <si>
    <t>Owed</t>
  </si>
  <si>
    <t>Your total budget split by category. Edit 'Your %' or type a fixed amount; spending comes from the Payments tab.</t>
  </si>
  <si>
    <t>Rows to fix:</t>
  </si>
  <si>
    <t>Red cell = something to fix. Orange = category over budget.</t>
  </si>
  <si>
    <t>Total budget</t>
  </si>
  <si>
    <t>Allocated</t>
  </si>
  <si>
    <t>Unallocated</t>
  </si>
  <si>
    <t>(change the total on the Dashboard)</t>
  </si>
  <si>
    <t>Typical %</t>
  </si>
  <si>
    <t>Your %</t>
  </si>
  <si>
    <t>Fixed amount (optional)</t>
  </si>
  <si>
    <t>Committed (paid + owed)</t>
  </si>
  <si>
    <t>Remaining</t>
  </si>
  <si>
    <t>% used</t>
  </si>
  <si>
    <t>Venue</t>
  </si>
  <si>
    <t>Catering &amp; bar</t>
  </si>
  <si>
    <t>Photography</t>
  </si>
  <si>
    <t>Videography</t>
  </si>
  <si>
    <t>Attire</t>
  </si>
  <si>
    <t>Hair &amp; makeup</t>
  </si>
  <si>
    <t>Flowers &amp; decor</t>
  </si>
  <si>
    <t>Music &amp; entertainment</t>
  </si>
  <si>
    <t>Wedding planner</t>
  </si>
  <si>
    <t>Rings</t>
  </si>
  <si>
    <t>Cake &amp; desserts</t>
  </si>
  <si>
    <t>Stationery</t>
  </si>
  <si>
    <t>Rentals</t>
  </si>
  <si>
    <t>Transportation</t>
  </si>
  <si>
    <t>Favors &amp; gifts</t>
  </si>
  <si>
    <t>Officiant &amp; license</t>
  </si>
  <si>
    <t>Contingency / other</t>
  </si>
  <si>
    <t>Total</t>
  </si>
  <si>
    <t>Typical % = rough US averages for guidance only. Your % column should add up to 100% (see Total); spare rows are for your own categories.</t>
  </si>
  <si>
    <t>Renaming a category? Rename it here first; payments under the old name turn red until you pick the new name.</t>
  </si>
  <si>
    <t>Payments</t>
  </si>
  <si>
    <t>Every deposit, payment and invoice. Paid = money gone. Owed = still to pay (add the due date).</t>
  </si>
  <si>
    <t>Red cell = something to fix (row stays out of the totals). Orange row = owed and past its due date.</t>
  </si>
  <si>
    <t>Date</t>
  </si>
  <si>
    <t>Vendor (optional)</t>
  </si>
  <si>
    <t>Description</t>
  </si>
  <si>
    <t>Paid / Owed</t>
  </si>
  <si>
    <t>Due date (if owed)</t>
  </si>
  <si>
    <t>Alert</t>
  </si>
  <si>
    <t>EXAMPLE Venue</t>
  </si>
  <si>
    <t>EXAMPLE: venue deposit</t>
  </si>
  <si>
    <t>EXAMPLE: venue balance</t>
  </si>
  <si>
    <t>Vendors</t>
  </si>
  <si>
    <t>Who you're working with. Paid so far, balance and next due date come from the Payments tab.</t>
  </si>
  <si>
    <t>Red cell = something to fix. Orange = a payment to this vendor is overdue.</t>
  </si>
  <si>
    <t>Contact person</t>
  </si>
  <si>
    <t>Phone</t>
  </si>
  <si>
    <t>Email</t>
  </si>
  <si>
    <t>Contract total</t>
  </si>
  <si>
    <t>Deposit</t>
  </si>
  <si>
    <t>Paid so far</t>
  </si>
  <si>
    <t>Balance due</t>
  </si>
  <si>
    <t>Next payment due</t>
  </si>
  <si>
    <t>Notes</t>
  </si>
  <si>
    <t>Jane Smith</t>
  </si>
  <si>
    <t>555-0100</t>
  </si>
  <si>
    <t>events@example.com</t>
  </si>
  <si>
    <t>Booked</t>
  </si>
  <si>
    <t>Guest List</t>
  </si>
  <si>
    <t>One row per invited guest. Plus-ones count automatically. Your options are in the yellow cells on the right.</t>
  </si>
  <si>
    <t>Red cell = something to fix. That guest stays out of the headcounts until fixed.</t>
  </si>
  <si>
    <t>Guest name</t>
  </si>
  <si>
    <t>Side</t>
  </si>
  <si>
    <t>Group</t>
  </si>
  <si>
    <t>RSVP</t>
  </si>
  <si>
    <t>Meal choice</t>
  </si>
  <si>
    <t>Plus-one?</t>
  </si>
  <si>
    <t>Plus-one meal</t>
  </si>
  <si>
    <t>Table</t>
  </si>
  <si>
    <t>Address / notes</t>
  </si>
  <si>
    <t>Your options</t>
  </si>
  <si>
    <t>EXAMPLE: Aunt Mary</t>
  </si>
  <si>
    <t>Bride</t>
  </si>
  <si>
    <t>Family</t>
  </si>
  <si>
    <t>Yes</t>
  </si>
  <si>
    <t>Chicken</t>
  </si>
  <si>
    <t>Fish</t>
  </si>
  <si>
    <t>Side 1</t>
  </si>
  <si>
    <t>EXAMPLE: Tom Lee</t>
  </si>
  <si>
    <t>Groom</t>
  </si>
  <si>
    <t>College</t>
  </si>
  <si>
    <t>Pending</t>
  </si>
  <si>
    <t>No</t>
  </si>
  <si>
    <t>Side 2</t>
  </si>
  <si>
    <t>Side 3</t>
  </si>
  <si>
    <t>Both</t>
  </si>
  <si>
    <t>Meal option 1</t>
  </si>
  <si>
    <t>Meal option 2</t>
  </si>
  <si>
    <t>Beef</t>
  </si>
  <si>
    <t>Meal option 3</t>
  </si>
  <si>
    <t>Meal option 4</t>
  </si>
  <si>
    <t>Vegetarian</t>
  </si>
  <si>
    <t>Meal option 5</t>
  </si>
  <si>
    <t>Kids meal</t>
  </si>
  <si>
    <t>Meal option 6</t>
  </si>
  <si>
    <t>Catering cost per guest</t>
  </si>
  <si>
    <t>Headcount</t>
  </si>
  <si>
    <t>People</t>
  </si>
  <si>
    <t>Invited (guests + plus-ones)</t>
  </si>
  <si>
    <t>Attending (RSVP Yes)</t>
  </si>
  <si>
    <t>Not replied yet</t>
  </si>
  <si>
    <t>Declined</t>
  </si>
  <si>
    <t>Expected headcount (attending + not replied)</t>
  </si>
  <si>
    <t>Catering estimate</t>
  </si>
  <si>
    <t>Attending by side</t>
  </si>
  <si>
    <t>No side chosen</t>
  </si>
  <si>
    <t>Meals (attending guests)</t>
  </si>
  <si>
    <t>Meals</t>
  </si>
  <si>
    <t>No meal chosen yet</t>
  </si>
  <si>
    <t>Two brides or two grooms? Just rename the sides above.</t>
  </si>
  <si>
    <t>Renaming a meal or side turns rows using the old name red.</t>
  </si>
  <si>
    <t>Checklist</t>
  </si>
  <si>
    <t>Red cell = something to fix. Orange = overdue. Want a different date for a task? Type it in 'Your own due date'.</t>
  </si>
  <si>
    <t>Task</t>
  </si>
  <si>
    <t>Months before</t>
  </si>
  <si>
    <t>Your own due date (optional)</t>
  </si>
  <si>
    <t>Due date</t>
  </si>
  <si>
    <t>Done?</t>
  </si>
  <si>
    <t>Agree on your total budget and fill in the Budget tab</t>
  </si>
  <si>
    <t>Pick a date (or season) and a rough guest count</t>
  </si>
  <si>
    <t>Start the guest list</t>
  </si>
  <si>
    <t>Research and book the venue</t>
  </si>
  <si>
    <t>Decide whether to hire a wedding planner</t>
  </si>
  <si>
    <t>Choose your wedding party</t>
  </si>
  <si>
    <t>Book the photographer</t>
  </si>
  <si>
    <t>Book the videographer</t>
  </si>
  <si>
    <t>Book the caterer (if not included with the venue)</t>
  </si>
  <si>
    <t>Book the band or DJ</t>
  </si>
  <si>
    <t>Set up a wedding website</t>
  </si>
  <si>
    <t>Shop for wedding attire</t>
  </si>
  <si>
    <t>Book the officiant</t>
  </si>
  <si>
    <t>Book the florist</t>
  </si>
  <si>
    <t>Register for gifts</t>
  </si>
  <si>
    <t>Send save-the-dates</t>
  </si>
  <si>
    <t>Reserve hotel room blocks for guests</t>
  </si>
  <si>
    <t>Start planning the honeymoon</t>
  </si>
  <si>
    <t>Book hair and makeup</t>
  </si>
  <si>
    <t>Order the cake</t>
  </si>
  <si>
    <t>Book rentals (tables, chairs, linens)</t>
  </si>
  <si>
    <t>Book transportation</t>
  </si>
  <si>
    <t>Order invitations</t>
  </si>
  <si>
    <t>Choose wedding party attire</t>
  </si>
  <si>
    <t>Buy wedding rings</t>
  </si>
  <si>
    <t>Plan the rehearsal dinner</t>
  </si>
  <si>
    <t>Menu tasting and final menu</t>
  </si>
  <si>
    <t>Book first attire fitting</t>
  </si>
  <si>
    <t>Order favors and welcome bags</t>
  </si>
  <si>
    <t>Plan the ceremony with the officiant</t>
  </si>
  <si>
    <t>Buy gifts for the wedding party</t>
  </si>
  <si>
    <t>Mail invitations</t>
  </si>
  <si>
    <t>Check marriage license requirements</t>
  </si>
  <si>
    <t>Send must-play / do-not-play lists to the DJ or band</t>
  </si>
  <si>
    <t>Chase late RSVPs</t>
  </si>
  <si>
    <t>Give the final headcount to the caterer</t>
  </si>
  <si>
    <t>Make the seating chart (Table column on Guest List)</t>
  </si>
  <si>
    <t>Confirm every vendor, arrival time and payment due date</t>
  </si>
  <si>
    <t>Get the marriage license</t>
  </si>
  <si>
    <t>Final attire fitting</t>
  </si>
  <si>
    <t>Pay or schedule final vendor balances (Payments tab)</t>
  </si>
  <si>
    <t>Share the day-of timeline with vendors and wedding party</t>
  </si>
  <si>
    <t>Pack for the honeymoon</t>
  </si>
  <si>
    <t>Prepare tip envelopes for vendors</t>
  </si>
  <si>
    <t>Delegate day-of jobs (gifts, decor pick-up)</t>
  </si>
  <si>
    <t>Wedding day: enjoy it!</t>
  </si>
  <si>
    <t>Return rentals and attire</t>
  </si>
  <si>
    <t>Send thank-you cards</t>
  </si>
  <si>
    <t>Change your name on documents (if you are)</t>
  </si>
  <si>
    <t>Close out the budget: settle any last balances</t>
  </si>
  <si>
    <t>Valid categories</t>
  </si>
  <si>
    <t>Category dropdown</t>
  </si>
  <si>
    <t>Valid vendors</t>
  </si>
  <si>
    <t>Vendor dropdown</t>
  </si>
  <si>
    <t>Payment status</t>
  </si>
  <si>
    <t>Vendor status</t>
  </si>
  <si>
    <t>Yes/No</t>
  </si>
  <si>
    <t>Done</t>
  </si>
  <si>
    <t>Considering</t>
  </si>
  <si>
    <t>Paid in full</t>
  </si>
  <si>
    <t>Cancelled</t>
  </si>
  <si>
    <t>Committed (all valid rows)</t>
  </si>
  <si>
    <t>Overdue $</t>
  </si>
  <si>
    <t>Overdue count</t>
  </si>
  <si>
    <t>Next payment due (today or later)</t>
  </si>
  <si>
    <t>Month start</t>
  </si>
  <si>
    <t>Label</t>
  </si>
  <si>
    <t>Earlier</t>
  </si>
  <si>
    <t>Later</t>
  </si>
  <si>
    <t>No due date</t>
  </si>
  <si>
    <t>Check total</t>
  </si>
  <si>
    <t>Next due</t>
  </si>
  <si>
    <t>Sort key</t>
  </si>
  <si>
    <t>Top vendors</t>
  </si>
  <si>
    <t>Key</t>
  </si>
  <si>
    <t>Row</t>
  </si>
  <si>
    <t>Tasks</t>
  </si>
  <si>
    <t>Overdue tasks</t>
  </si>
  <si>
    <t>Done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</si>
</sst>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&quot;-&quot;"/>
    <numFmt numFmtId="165" formatCode="0.0%"/>
    <numFmt numFmtId="166" formatCode="\$#,##0.00;\(\$#,##0.00\);&quot;-&quot;"/>
    <numFmt numFmtId="167" formatCode="mm/dd/yyyy"/>
    <numFmt numFmtId="168" formatCode="0.0%;\(0.0%\);&quot;-&quot;"/>
    <numFmt numFmtId="169" formatCode="0&quot; days&quot;;&quot;Past&quot;;&quot;Today!&quot;"/>
  </numFmts>
  <fonts count="17" x14ac:knownFonts="1">
    <font>
      <sz val="11"/>
      <color theme="1"/>
      <name val="Calibri"/>
      <family val="2"/>
      <scheme val="minor"/>
    </font>
    <font>
      <b/>
      <sz val="18"/>
      <color rgb="FF7A4A5A"/>
      <name val="Arial"/>
    </font>
    <font>
      <sz val="11"/>
      <color rgb="FF555555"/>
      <name val="Arial"/>
    </font>
    <font>
      <b/>
      <sz val="11"/>
      <color rgb="FF7A4A5A"/>
      <name val="Arial"/>
    </font>
    <font>
      <sz val="11"/>
      <color rgb="FF222222"/>
      <name val="Arial"/>
    </font>
    <font>
      <b/>
      <sz val="10"/>
      <color rgb="FFB03A2E"/>
      <name val="Arial"/>
    </font>
    <font>
      <b/>
      <sz val="10"/>
      <name val="Arial"/>
    </font>
    <font>
      <b/>
      <sz val="11"/>
      <color rgb="FF00800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sz val="10"/>
      <color rgb="FF888888"/>
      <name val="Arial"/>
    </font>
    <font>
      <b/>
      <sz val="10"/>
      <color rgb="FF7A4A5A"/>
      <name val="Arial"/>
    </font>
    <font>
      <b/>
      <sz val="12"/>
      <color rgb="FF0000FF"/>
      <name val="Arial"/>
    </font>
    <font>
      <b/>
      <sz val="9"/>
      <color rgb="FF9A6B78"/>
      <name val="Arial"/>
    </font>
    <font>
      <b/>
      <sz val="20"/>
      <color rgb="FF7A4A5A"/>
      <name val="Arial"/>
    </font>
  </fonts>
  <fills count="5">
    <fill>
      <patternFill patternType="none"/>
    </fill>
    <fill>
      <patternFill patternType="gray125"/>
    </fill>
    <fill>
      <patternFill patternType="solid">
        <fgColor rgb="FF7A4A5A"/>
      </patternFill>
    </fill>
    <fill>
      <patternFill patternType="solid">
        <fgColor rgb="FFFFF7D6"/>
      </patternFill>
    </fill>
    <fill>
      <patternFill patternType="solid">
        <fgColor rgb="FFF6ECEF"/>
      </patternFill>
    </fill>
  </fills>
  <borders count="2">
    <border>
      <left/>
      <right/>
      <top/>
      <bottom/>
      <diagonal/>
    </border>
    <border>
      <left style="thin">
        <color rgb="FFE3D3D8"/>
      </left>
      <right style="thin">
        <color rgb="FFE3D3D8"/>
      </right>
      <top style="thin">
        <color rgb="FFE3D3D8"/>
      </top>
      <bottom style="thin">
        <color rgb="FFE3D3D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167" fontId="14" fillId="3" borderId="1" xfId="0" applyNumberFormat="1" applyFont="1" applyFill="1" applyBorder="1"/>
    <xf numFmtId="164" fontId="14" fillId="3" borderId="1" xfId="0" applyNumberFormat="1" applyFont="1" applyFill="1" applyBorder="1"/>
    <xf numFmtId="0" fontId="8" fillId="0" borderId="0" xfId="0" applyFont="1"/>
    <xf numFmtId="166" fontId="0" fillId="0" borderId="0" xfId="0" applyNumberFormat="1"/>
    <xf numFmtId="0" fontId="13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9" fontId="12" fillId="0" borderId="1" xfId="0" applyNumberFormat="1" applyFont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6" fontId="11" fillId="0" borderId="1" xfId="0" applyNumberFormat="1" applyFont="1" applyBorder="1"/>
    <xf numFmtId="9" fontId="0" fillId="0" borderId="1" xfId="0" applyNumberFormat="1" applyBorder="1"/>
    <xf numFmtId="0" fontId="6" fillId="4" borderId="1" xfId="0" applyFont="1" applyFill="1" applyBorder="1"/>
    <xf numFmtId="165" fontId="6" fillId="4" borderId="1" xfId="0" applyNumberFormat="1" applyFont="1" applyFill="1" applyBorder="1"/>
    <xf numFmtId="166" fontId="6" fillId="4" borderId="1" xfId="0" applyNumberFormat="1" applyFont="1" applyFill="1" applyBorder="1"/>
    <xf numFmtId="9" fontId="6" fillId="4" borderId="1" xfId="0" applyNumberFormat="1" applyFont="1" applyFill="1" applyBorder="1"/>
    <xf numFmtId="167" fontId="10" fillId="3" borderId="1" xfId="0" applyNumberFormat="1" applyFont="1" applyFill="1" applyBorder="1"/>
    <xf numFmtId="167" fontId="11" fillId="0" borderId="1" xfId="0" applyNumberFormat="1" applyFont="1" applyBorder="1"/>
    <xf numFmtId="0" fontId="5" fillId="0" borderId="0" xfId="0" applyFont="1" applyAlignment="1">
      <alignment horizontal="left"/>
    </xf>
    <xf numFmtId="0" fontId="11" fillId="0" borderId="0" xfId="0" applyFont="1"/>
    <xf numFmtId="1" fontId="11" fillId="0" borderId="1" xfId="0" applyNumberFormat="1" applyFont="1" applyBorder="1"/>
    <xf numFmtId="1" fontId="6" fillId="0" borderId="1" xfId="0" applyNumberFormat="1" applyFont="1" applyBorder="1"/>
    <xf numFmtId="166" fontId="6" fillId="0" borderId="1" xfId="0" applyNumberFormat="1" applyFont="1" applyBorder="1"/>
    <xf numFmtId="0" fontId="11" fillId="0" borderId="1" xfId="0" applyFont="1" applyBorder="1"/>
    <xf numFmtId="0" fontId="0" fillId="0" borderId="1" xfId="0" applyBorder="1"/>
    <xf numFmtId="0" fontId="15" fillId="4" borderId="0" xfId="0" applyFont="1" applyFill="1" applyAlignment="1">
      <alignment horizontal="left" indent="1"/>
    </xf>
    <xf numFmtId="0" fontId="0" fillId="4" borderId="0" xfId="0" applyFill="1"/>
    <xf numFmtId="1" fontId="16" fillId="4" borderId="0" xfId="0" applyNumberFormat="1" applyFont="1" applyFill="1" applyAlignment="1">
      <alignment horizontal="left" vertical="center" indent="1"/>
    </xf>
    <xf numFmtId="168" fontId="16" fillId="4" borderId="0" xfId="0" applyNumberFormat="1" applyFont="1" applyFill="1" applyAlignment="1">
      <alignment horizontal="left" vertical="center" indent="1"/>
    </xf>
    <xf numFmtId="164" fontId="16" fillId="4" borderId="0" xfId="0" applyNumberFormat="1" applyFont="1" applyFill="1" applyAlignment="1">
      <alignment horizontal="left" vertical="center" indent="1"/>
    </xf>
    <xf numFmtId="169" fontId="16" fillId="4" borderId="0" xfId="0" applyNumberFormat="1" applyFont="1" applyFill="1" applyAlignment="1">
      <alignment horizontal="left" vertical="center" indent="1"/>
    </xf>
    <xf numFmtId="167" fontId="16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29"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ont>
        <color rgb="FF9A9A9A"/>
      </font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Budget vs committed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D9A5B3"/>
            </a:solidFill>
            <a:ln>
              <a:solidFill>
                <a:srgbClr val="D9A5B3"/>
              </a:solidFill>
              <a:prstDash val="solid"/>
            </a:ln>
          </c:spPr>
          <c:invertIfNegative val="0"/>
          <c:cat>
            <c:strRef>
              <c:f>Dashboard!$V$5:$V$24</c:f>
              <c:strCache>
                <c:ptCount val="17"/>
                <c:pt idx="0">
                  <c:v>Venue</c:v>
                </c:pt>
                <c:pt idx="1">
                  <c:v>Catering &amp; bar</c:v>
                </c:pt>
                <c:pt idx="2">
                  <c:v>Photography</c:v>
                </c:pt>
                <c:pt idx="3">
                  <c:v>Videography</c:v>
                </c:pt>
                <c:pt idx="4">
                  <c:v>Attire</c:v>
                </c:pt>
                <c:pt idx="5">
                  <c:v>Hair &amp; makeup</c:v>
                </c:pt>
                <c:pt idx="6">
                  <c:v>Flowers &amp; decor</c:v>
                </c:pt>
                <c:pt idx="7">
                  <c:v>Music &amp; entertainment</c:v>
                </c:pt>
                <c:pt idx="8">
                  <c:v>Wedding planner</c:v>
                </c:pt>
                <c:pt idx="9">
                  <c:v>Rings</c:v>
                </c:pt>
                <c:pt idx="10">
                  <c:v>Cake &amp; desserts</c:v>
                </c:pt>
                <c:pt idx="11">
                  <c:v>Stationery</c:v>
                </c:pt>
                <c:pt idx="12">
                  <c:v>Rentals</c:v>
                </c:pt>
                <c:pt idx="13">
                  <c:v>Transportation</c:v>
                </c:pt>
                <c:pt idx="14">
                  <c:v>Favors &amp; gifts</c:v>
                </c:pt>
                <c:pt idx="15">
                  <c:v>Officiant &amp; license</c:v>
                </c:pt>
                <c:pt idx="16">
                  <c:v>Contingency / other</c:v>
                </c:pt>
              </c:strCache>
            </c:strRef>
          </c:cat>
          <c:val>
            <c:numRef>
              <c:f>Dashboard!$W$5:$W$24</c:f>
              <c:numCache>
                <c:formatCode>\$#,##0.00;\(\$#,##0.00\);"-"</c:formatCode>
                <c:ptCount val="20"/>
                <c:pt idx="0">
                  <c:v>6000</c:v>
                </c:pt>
                <c:pt idx="1">
                  <c:v>7500</c:v>
                </c:pt>
                <c:pt idx="2">
                  <c:v>3000</c:v>
                </c:pt>
                <c:pt idx="3">
                  <c:v>1200</c:v>
                </c:pt>
                <c:pt idx="4">
                  <c:v>1800</c:v>
                </c:pt>
                <c:pt idx="5">
                  <c:v>600</c:v>
                </c:pt>
                <c:pt idx="6">
                  <c:v>2400</c:v>
                </c:pt>
                <c:pt idx="7">
                  <c:v>1500</c:v>
                </c:pt>
                <c:pt idx="8">
                  <c:v>900</c:v>
                </c:pt>
                <c:pt idx="9">
                  <c:v>900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300</c:v>
                </c:pt>
                <c:pt idx="15">
                  <c:v>300</c:v>
                </c:pt>
                <c:pt idx="16">
                  <c:v>1200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D-422E-9320-6B21F6A4CB2E}"/>
            </c:ext>
          </c:extLst>
        </c:ser>
        <c:ser>
          <c:idx val="1"/>
          <c:order val="1"/>
          <c:tx>
            <c:strRef>
              <c:f>Dashboard!$X$4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7A4A5A"/>
            </a:solidFill>
            <a:ln>
              <a:solidFill>
                <a:srgbClr val="7A4A5A"/>
              </a:solidFill>
              <a:prstDash val="solid"/>
            </a:ln>
          </c:spPr>
          <c:invertIfNegative val="0"/>
          <c:cat>
            <c:strRef>
              <c:f>Dashboard!$V$5:$V$24</c:f>
              <c:strCache>
                <c:ptCount val="17"/>
                <c:pt idx="0">
                  <c:v>Venue</c:v>
                </c:pt>
                <c:pt idx="1">
                  <c:v>Catering &amp; bar</c:v>
                </c:pt>
                <c:pt idx="2">
                  <c:v>Photography</c:v>
                </c:pt>
                <c:pt idx="3">
                  <c:v>Videography</c:v>
                </c:pt>
                <c:pt idx="4">
                  <c:v>Attire</c:v>
                </c:pt>
                <c:pt idx="5">
                  <c:v>Hair &amp; makeup</c:v>
                </c:pt>
                <c:pt idx="6">
                  <c:v>Flowers &amp; decor</c:v>
                </c:pt>
                <c:pt idx="7">
                  <c:v>Music &amp; entertainment</c:v>
                </c:pt>
                <c:pt idx="8">
                  <c:v>Wedding planner</c:v>
                </c:pt>
                <c:pt idx="9">
                  <c:v>Rings</c:v>
                </c:pt>
                <c:pt idx="10">
                  <c:v>Cake &amp; desserts</c:v>
                </c:pt>
                <c:pt idx="11">
                  <c:v>Stationery</c:v>
                </c:pt>
                <c:pt idx="12">
                  <c:v>Rentals</c:v>
                </c:pt>
                <c:pt idx="13">
                  <c:v>Transportation</c:v>
                </c:pt>
                <c:pt idx="14">
                  <c:v>Favors &amp; gifts</c:v>
                </c:pt>
                <c:pt idx="15">
                  <c:v>Officiant &amp; license</c:v>
                </c:pt>
                <c:pt idx="16">
                  <c:v>Contingency / other</c:v>
                </c:pt>
              </c:strCache>
            </c:strRef>
          </c:cat>
          <c:val>
            <c:numRef>
              <c:f>Dashboard!$X$5:$X$24</c:f>
              <c:numCache>
                <c:formatCode>\$#,##0.00;\(\$#,##0.00\);"-"</c:formatCode>
                <c:ptCount val="20"/>
                <c:pt idx="0">
                  <c:v>12000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D-422E-9320-6B21F6A4C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Payments by month (paid + owed by due date)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Dashboard!$W$27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7A4A5A"/>
            </a:solidFill>
            <a:ln>
              <a:solidFill>
                <a:srgbClr val="7A4A5A"/>
              </a:solidFill>
              <a:prstDash val="solid"/>
            </a:ln>
          </c:spPr>
          <c:invertIfNegative val="0"/>
          <c:cat>
            <c:strRef>
              <c:f>Dashboard!$V$28:$V$48</c:f>
              <c:strCache>
                <c:ptCount val="21"/>
                <c:pt idx="0">
                  <c:v>Earlier</c:v>
                </c:pt>
                <c:pt idx="1">
                  <c:v>Jun 25</c:v>
                </c:pt>
                <c:pt idx="2">
                  <c:v>Jul 25</c:v>
                </c:pt>
                <c:pt idx="3">
                  <c:v>Aug 25</c:v>
                </c:pt>
                <c:pt idx="4">
                  <c:v>Sep 25</c:v>
                </c:pt>
                <c:pt idx="5">
                  <c:v>Oct 25</c:v>
                </c:pt>
                <c:pt idx="6">
                  <c:v>Nov 25</c:v>
                </c:pt>
                <c:pt idx="7">
                  <c:v>Dec 25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  <c:pt idx="12">
                  <c:v>May 26</c:v>
                </c:pt>
                <c:pt idx="13">
                  <c:v>Jun 26</c:v>
                </c:pt>
                <c:pt idx="14">
                  <c:v>Jul 26</c:v>
                </c:pt>
                <c:pt idx="15">
                  <c:v>Aug 26</c:v>
                </c:pt>
                <c:pt idx="16">
                  <c:v>Sep 26</c:v>
                </c:pt>
                <c:pt idx="17">
                  <c:v>Oct 26</c:v>
                </c:pt>
                <c:pt idx="18">
                  <c:v>Nov 26</c:v>
                </c:pt>
                <c:pt idx="19">
                  <c:v>Later</c:v>
                </c:pt>
                <c:pt idx="20">
                  <c:v>No due date</c:v>
                </c:pt>
              </c:strCache>
            </c:strRef>
          </c:cat>
          <c:val>
            <c:numRef>
              <c:f>Dashboard!$W$28:$W$48</c:f>
              <c:numCache>
                <c:formatCode>\$#,##0.00;\(\$#,##0.00\);"-"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1-402E-9725-CFAE85D7B07B}"/>
            </c:ext>
          </c:extLst>
        </c:ser>
        <c:ser>
          <c:idx val="1"/>
          <c:order val="1"/>
          <c:tx>
            <c:strRef>
              <c:f>Dashboard!$X$27</c:f>
              <c:strCache>
                <c:ptCount val="1"/>
                <c:pt idx="0">
                  <c:v>Owed (by due date)</c:v>
                </c:pt>
              </c:strCache>
            </c:strRef>
          </c:tx>
          <c:spPr>
            <a:solidFill>
              <a:srgbClr val="C9A66B"/>
            </a:solidFill>
            <a:ln>
              <a:solidFill>
                <a:srgbClr val="C9A66B"/>
              </a:solidFill>
              <a:prstDash val="solid"/>
            </a:ln>
          </c:spPr>
          <c:invertIfNegative val="0"/>
          <c:cat>
            <c:strRef>
              <c:f>Dashboard!$V$28:$V$48</c:f>
              <c:strCache>
                <c:ptCount val="21"/>
                <c:pt idx="0">
                  <c:v>Earlier</c:v>
                </c:pt>
                <c:pt idx="1">
                  <c:v>Jun 25</c:v>
                </c:pt>
                <c:pt idx="2">
                  <c:v>Jul 25</c:v>
                </c:pt>
                <c:pt idx="3">
                  <c:v>Aug 25</c:v>
                </c:pt>
                <c:pt idx="4">
                  <c:v>Sep 25</c:v>
                </c:pt>
                <c:pt idx="5">
                  <c:v>Oct 25</c:v>
                </c:pt>
                <c:pt idx="6">
                  <c:v>Nov 25</c:v>
                </c:pt>
                <c:pt idx="7">
                  <c:v>Dec 25</c:v>
                </c:pt>
                <c:pt idx="8">
                  <c:v>Jan 26</c:v>
                </c:pt>
                <c:pt idx="9">
                  <c:v>Feb 26</c:v>
                </c:pt>
                <c:pt idx="10">
                  <c:v>Mar 26</c:v>
                </c:pt>
                <c:pt idx="11">
                  <c:v>Apr 26</c:v>
                </c:pt>
                <c:pt idx="12">
                  <c:v>May 26</c:v>
                </c:pt>
                <c:pt idx="13">
                  <c:v>Jun 26</c:v>
                </c:pt>
                <c:pt idx="14">
                  <c:v>Jul 26</c:v>
                </c:pt>
                <c:pt idx="15">
                  <c:v>Aug 26</c:v>
                </c:pt>
                <c:pt idx="16">
                  <c:v>Sep 26</c:v>
                </c:pt>
                <c:pt idx="17">
                  <c:v>Oct 26</c:v>
                </c:pt>
                <c:pt idx="18">
                  <c:v>Nov 26</c:v>
                </c:pt>
                <c:pt idx="19">
                  <c:v>Later</c:v>
                </c:pt>
                <c:pt idx="20">
                  <c:v>No due date</c:v>
                </c:pt>
              </c:strCache>
            </c:strRef>
          </c:cat>
          <c:val>
            <c:numRef>
              <c:f>Dashboard!$X$28:$X$48</c:f>
              <c:numCache>
                <c:formatCode>\$#,##0.00;\(\$#,##0.00\);"-"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9000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1-402E-9725-CFAE85D7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Paid, owed and not yet committed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Dashboard!$W$51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A4A5A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4F-4CDD-91F2-B04703F77908}"/>
              </c:ext>
            </c:extLst>
          </c:dPt>
          <c:dPt>
            <c:idx val="1"/>
            <c:bubble3D val="0"/>
            <c:spPr>
              <a:solidFill>
                <a:srgbClr val="C9A66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4F-4CDD-91F2-B04703F77908}"/>
              </c:ext>
            </c:extLst>
          </c:dPt>
          <c:dPt>
            <c:idx val="2"/>
            <c:bubble3D val="0"/>
            <c:spPr>
              <a:solidFill>
                <a:srgbClr val="E8DDE0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4F-4CDD-91F2-B04703F77908}"/>
              </c:ext>
            </c:extLst>
          </c:dPt>
          <c:cat>
            <c:strRef>
              <c:f>Dashboard!$V$52:$V$54</c:f>
              <c:strCache>
                <c:ptCount val="3"/>
                <c:pt idx="0">
                  <c:v>Paid</c:v>
                </c:pt>
                <c:pt idx="1">
                  <c:v>Still owed</c:v>
                </c:pt>
                <c:pt idx="2">
                  <c:v>Not yet committed</c:v>
                </c:pt>
              </c:strCache>
            </c:strRef>
          </c:cat>
          <c:val>
            <c:numRef>
              <c:f>Dashboard!$W$52:$W$54</c:f>
              <c:numCache>
                <c:formatCode>\$#,##0.00;\(\$#,##0.00\);"-"</c:formatCode>
                <c:ptCount val="3"/>
                <c:pt idx="0">
                  <c:v>3000</c:v>
                </c:pt>
                <c:pt idx="1">
                  <c:v>9000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4F-4CDD-91F2-B04703F77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vendors (paid + owed)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Dashboard!$W$57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7A4A5A"/>
            </a:solidFill>
            <a:ln>
              <a:solidFill>
                <a:srgbClr val="7A4A5A"/>
              </a:solidFill>
              <a:prstDash val="solid"/>
            </a:ln>
          </c:spPr>
          <c:invertIfNegative val="0"/>
          <c:cat>
            <c:strRef>
              <c:f>Dashboard!$V$58:$V$65</c:f>
              <c:strCache>
                <c:ptCount val="1"/>
                <c:pt idx="0">
                  <c:v>EXAMPLE Venue</c:v>
                </c:pt>
              </c:strCache>
            </c:strRef>
          </c:cat>
          <c:val>
            <c:numRef>
              <c:f>Dashboard!$W$58:$W$65</c:f>
              <c:numCache>
                <c:formatCode>\$#,##0.00;\(\$#,##0.00\);"-"</c:formatCode>
                <c:ptCount val="8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1-485C-9869-9E9BADA09E1A}"/>
            </c:ext>
          </c:extLst>
        </c:ser>
        <c:ser>
          <c:idx val="1"/>
          <c:order val="1"/>
          <c:tx>
            <c:strRef>
              <c:f>Dashboard!$X$57</c:f>
              <c:strCache>
                <c:ptCount val="1"/>
                <c:pt idx="0">
                  <c:v>Owed</c:v>
                </c:pt>
              </c:strCache>
            </c:strRef>
          </c:tx>
          <c:spPr>
            <a:solidFill>
              <a:srgbClr val="C9A66B"/>
            </a:solidFill>
            <a:ln>
              <a:solidFill>
                <a:srgbClr val="C9A66B"/>
              </a:solidFill>
              <a:prstDash val="solid"/>
            </a:ln>
          </c:spPr>
          <c:invertIfNegative val="0"/>
          <c:cat>
            <c:strRef>
              <c:f>Dashboard!$V$58:$V$65</c:f>
              <c:strCache>
                <c:ptCount val="1"/>
                <c:pt idx="0">
                  <c:v>EXAMPLE Venue</c:v>
                </c:pt>
              </c:strCache>
            </c:strRef>
          </c:cat>
          <c:val>
            <c:numRef>
              <c:f>Dashboard!$X$58:$X$65</c:f>
              <c:numCache>
                <c:formatCode>\$#,##0.00;\(\$#,##0.00\);"-"</c:formatCode>
                <c:ptCount val="8"/>
                <c:pt idx="0">
                  <c:v>9000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1-485C-9869-9E9BADA09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6336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6336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6336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47</xdr:row>
      <xdr:rowOff>0</xdr:rowOff>
    </xdr:from>
    <xdr:ext cx="6336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4A5A"/>
  </sheetPr>
  <dimension ref="B2:B32"/>
  <sheetViews>
    <sheetView showGridLines="0" tabSelected="1" workbookViewId="0"/>
  </sheetViews>
  <sheetFormatPr defaultRowHeight="14.5" x14ac:dyDescent="0.35"/>
  <cols>
    <col min="1" max="1" width="3" customWidth="1"/>
    <col min="2" max="2" width="112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x14ac:dyDescent="0.35">
      <c r="B6" s="4" t="s">
        <v>3</v>
      </c>
    </row>
    <row r="7" spans="2:2" x14ac:dyDescent="0.35">
      <c r="B7" s="4" t="s">
        <v>4</v>
      </c>
    </row>
    <row r="8" spans="2:2" x14ac:dyDescent="0.35">
      <c r="B8" s="4" t="s">
        <v>5</v>
      </c>
    </row>
    <row r="9" spans="2:2" ht="28" x14ac:dyDescent="0.35">
      <c r="B9" s="4" t="s">
        <v>6</v>
      </c>
    </row>
    <row r="10" spans="2:2" x14ac:dyDescent="0.35">
      <c r="B10" s="4" t="s">
        <v>7</v>
      </c>
    </row>
    <row r="11" spans="2:2" x14ac:dyDescent="0.35">
      <c r="B11" s="4" t="s">
        <v>8</v>
      </c>
    </row>
    <row r="12" spans="2:2" x14ac:dyDescent="0.35">
      <c r="B12" s="4" t="s">
        <v>9</v>
      </c>
    </row>
    <row r="13" spans="2:2" x14ac:dyDescent="0.35">
      <c r="B13" s="4" t="s">
        <v>10</v>
      </c>
    </row>
    <row r="14" spans="2:2" ht="28" x14ac:dyDescent="0.35">
      <c r="B14" s="4" t="s">
        <v>11</v>
      </c>
    </row>
    <row r="15" spans="2:2" x14ac:dyDescent="0.35">
      <c r="B15" s="4" t="s">
        <v>12</v>
      </c>
    </row>
    <row r="16" spans="2:2" x14ac:dyDescent="0.35">
      <c r="B16" s="4" t="s">
        <v>13</v>
      </c>
    </row>
    <row r="17" spans="2:2" x14ac:dyDescent="0.35">
      <c r="B17" s="4" t="s">
        <v>14</v>
      </c>
    </row>
    <row r="18" spans="2:2" x14ac:dyDescent="0.35">
      <c r="B18" s="4" t="s">
        <v>15</v>
      </c>
    </row>
    <row r="19" spans="2:2" x14ac:dyDescent="0.35">
      <c r="B19" s="4"/>
    </row>
    <row r="20" spans="2:2" x14ac:dyDescent="0.35">
      <c r="B20" s="3" t="s">
        <v>16</v>
      </c>
    </row>
    <row r="21" spans="2:2" ht="28" x14ac:dyDescent="0.35">
      <c r="B21" s="4" t="s">
        <v>17</v>
      </c>
    </row>
    <row r="22" spans="2:2" ht="28" x14ac:dyDescent="0.35">
      <c r="B22" s="4" t="s">
        <v>18</v>
      </c>
    </row>
    <row r="23" spans="2:2" x14ac:dyDescent="0.35">
      <c r="B23" s="4" t="s">
        <v>19</v>
      </c>
    </row>
    <row r="24" spans="2:2" x14ac:dyDescent="0.35">
      <c r="B24" s="4" t="s">
        <v>20</v>
      </c>
    </row>
    <row r="25" spans="2:2" x14ac:dyDescent="0.35">
      <c r="B25" s="4"/>
    </row>
    <row r="26" spans="2:2" x14ac:dyDescent="0.35">
      <c r="B26" s="3" t="s">
        <v>21</v>
      </c>
    </row>
    <row r="27" spans="2:2" x14ac:dyDescent="0.35">
      <c r="B27" s="4" t="s">
        <v>22</v>
      </c>
    </row>
    <row r="28" spans="2:2" x14ac:dyDescent="0.35">
      <c r="B28" s="4"/>
    </row>
    <row r="29" spans="2:2" x14ac:dyDescent="0.35">
      <c r="B29" s="3" t="s">
        <v>23</v>
      </c>
    </row>
    <row r="30" spans="2:2" x14ac:dyDescent="0.35">
      <c r="B30" s="4" t="s">
        <v>24</v>
      </c>
    </row>
    <row r="31" spans="2:2" x14ac:dyDescent="0.35">
      <c r="B31" s="4"/>
    </row>
    <row r="32" spans="2:2" x14ac:dyDescent="0.35">
      <c r="B32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A4A5A"/>
  </sheetPr>
  <dimension ref="B1:X65"/>
  <sheetViews>
    <sheetView showGridLines="0" workbookViewId="0"/>
  </sheetViews>
  <sheetFormatPr defaultRowHeight="14.5" x14ac:dyDescent="0.35"/>
  <cols>
    <col min="1" max="1" width="2" customWidth="1"/>
    <col min="2" max="17" width="13" customWidth="1"/>
    <col min="22" max="24" width="18" customWidth="1"/>
  </cols>
  <sheetData>
    <row r="1" spans="2:24" ht="23" x14ac:dyDescent="0.5">
      <c r="B1" s="1" t="s">
        <v>26</v>
      </c>
    </row>
    <row r="3" spans="2:24" ht="15.5" x14ac:dyDescent="0.35">
      <c r="B3" s="5" t="s">
        <v>27</v>
      </c>
      <c r="C3" s="6"/>
      <c r="D3" s="5" t="s">
        <v>28</v>
      </c>
      <c r="E3" s="7">
        <v>30000</v>
      </c>
      <c r="G3" s="2" t="str">
        <f>IF(AND(C3&lt;&gt;"",NOT(ISNUMBER(C3))),"Wedding date is not a date.  ",IF(C3="","Type your wedding date in C3.  ",""))&amp;IF(AND(E3&lt;&gt;"",NOT(ISNUMBER(E3))),"Total budget is not a number.  ","")&amp;IF((Payments!H2+Budget!J2+Vendors!K2+'Guest List'!I2+Checklist!F2)&gt;0,(Payments!H2+Budget!J2+Vendors!K2+'Guest List'!I2+Checklist!F2)&amp;" row(s) need fixing - see red cells","Updates automatically from every tab")</f>
        <v>Type your wedding date in C3.  Updates automatically from every tab</v>
      </c>
      <c r="V3" s="8" t="s">
        <v>29</v>
      </c>
    </row>
    <row r="4" spans="2:24" x14ac:dyDescent="0.35">
      <c r="V4" t="s">
        <v>30</v>
      </c>
      <c r="W4" t="s">
        <v>31</v>
      </c>
      <c r="X4" t="s">
        <v>32</v>
      </c>
    </row>
    <row r="5" spans="2:24" x14ac:dyDescent="0.35">
      <c r="B5" s="34" t="s">
        <v>33</v>
      </c>
      <c r="C5" s="35"/>
      <c r="D5" s="35"/>
      <c r="E5" s="35"/>
      <c r="G5" s="34" t="s">
        <v>34</v>
      </c>
      <c r="H5" s="35"/>
      <c r="I5" s="35"/>
      <c r="J5" s="35"/>
      <c r="L5" s="34" t="s">
        <v>35</v>
      </c>
      <c r="M5" s="35"/>
      <c r="N5" s="35"/>
      <c r="O5" s="35"/>
      <c r="V5" t="str">
        <f>Calc!B3</f>
        <v>Venue</v>
      </c>
      <c r="W5" s="9">
        <f>Calc!C3</f>
        <v>6000</v>
      </c>
      <c r="X5" s="9">
        <f>Calc!D3</f>
        <v>12000</v>
      </c>
    </row>
    <row r="6" spans="2:24" x14ac:dyDescent="0.35">
      <c r="B6" s="38">
        <f>N(Dashboard!$E$3)</f>
        <v>30000</v>
      </c>
      <c r="C6" s="35"/>
      <c r="D6" s="35"/>
      <c r="E6" s="35"/>
      <c r="G6" s="38">
        <f>Calc!C25</f>
        <v>12000</v>
      </c>
      <c r="H6" s="35"/>
      <c r="I6" s="35"/>
      <c r="J6" s="35"/>
      <c r="L6" s="38">
        <f>N(Dashboard!$E$3)-Calc!C25</f>
        <v>18000</v>
      </c>
      <c r="M6" s="35"/>
      <c r="N6" s="35"/>
      <c r="O6" s="35"/>
      <c r="V6" t="str">
        <f>Calc!B4</f>
        <v>Catering &amp; bar</v>
      </c>
      <c r="W6" s="9">
        <f>Calc!C4</f>
        <v>7500</v>
      </c>
      <c r="X6" s="9">
        <f>Calc!D4</f>
        <v>0</v>
      </c>
    </row>
    <row r="7" spans="2:24" x14ac:dyDescent="0.35">
      <c r="B7" s="35"/>
      <c r="C7" s="35"/>
      <c r="D7" s="35"/>
      <c r="E7" s="35"/>
      <c r="G7" s="35"/>
      <c r="H7" s="35"/>
      <c r="I7" s="35"/>
      <c r="J7" s="35"/>
      <c r="L7" s="35"/>
      <c r="M7" s="35"/>
      <c r="N7" s="35"/>
      <c r="O7" s="35"/>
      <c r="V7" t="str">
        <f>Calc!B5</f>
        <v>Photography</v>
      </c>
      <c r="W7" s="9">
        <f>Calc!C5</f>
        <v>3000</v>
      </c>
      <c r="X7" s="9">
        <f>Calc!D5</f>
        <v>0</v>
      </c>
    </row>
    <row r="8" spans="2:24" x14ac:dyDescent="0.35">
      <c r="V8" t="str">
        <f>Calc!B6</f>
        <v>Videography</v>
      </c>
      <c r="W8" s="9">
        <f>Calc!C6</f>
        <v>1200</v>
      </c>
      <c r="X8" s="9">
        <f>Calc!D6</f>
        <v>0</v>
      </c>
    </row>
    <row r="9" spans="2:24" x14ac:dyDescent="0.35">
      <c r="B9" s="34" t="s">
        <v>36</v>
      </c>
      <c r="C9" s="35"/>
      <c r="D9" s="35"/>
      <c r="E9" s="35"/>
      <c r="G9" s="34" t="s">
        <v>37</v>
      </c>
      <c r="H9" s="35"/>
      <c r="I9" s="35"/>
      <c r="J9" s="35"/>
      <c r="L9" s="34" t="s">
        <v>38</v>
      </c>
      <c r="M9" s="35"/>
      <c r="N9" s="35"/>
      <c r="O9" s="35"/>
      <c r="V9" t="str">
        <f>Calc!B7</f>
        <v>Attire</v>
      </c>
      <c r="W9" s="9">
        <f>Calc!C7</f>
        <v>1800</v>
      </c>
      <c r="X9" s="9">
        <f>Calc!D7</f>
        <v>0</v>
      </c>
    </row>
    <row r="10" spans="2:24" x14ac:dyDescent="0.35">
      <c r="B10" s="37">
        <f>IF(N(Dashboard!$E$3)&gt;0,Calc!C25/N(Dashboard!$E$3),0)</f>
        <v>0.4</v>
      </c>
      <c r="C10" s="35"/>
      <c r="D10" s="35"/>
      <c r="E10" s="35"/>
      <c r="G10" s="38">
        <f>Calc!C26</f>
        <v>3000</v>
      </c>
      <c r="H10" s="35"/>
      <c r="I10" s="35"/>
      <c r="J10" s="35"/>
      <c r="L10" s="38">
        <f>Calc!C27</f>
        <v>9000</v>
      </c>
      <c r="M10" s="35"/>
      <c r="N10" s="35"/>
      <c r="O10" s="35"/>
      <c r="V10" t="str">
        <f>Calc!B8</f>
        <v>Hair &amp; makeup</v>
      </c>
      <c r="W10" s="9">
        <f>Calc!C8</f>
        <v>600</v>
      </c>
      <c r="X10" s="9">
        <f>Calc!D8</f>
        <v>0</v>
      </c>
    </row>
    <row r="11" spans="2:24" x14ac:dyDescent="0.35">
      <c r="B11" s="35"/>
      <c r="C11" s="35"/>
      <c r="D11" s="35"/>
      <c r="E11" s="35"/>
      <c r="G11" s="35"/>
      <c r="H11" s="35"/>
      <c r="I11" s="35"/>
      <c r="J11" s="35"/>
      <c r="L11" s="35"/>
      <c r="M11" s="35"/>
      <c r="N11" s="35"/>
      <c r="O11" s="35"/>
      <c r="V11" t="str">
        <f>Calc!B9</f>
        <v>Flowers &amp; decor</v>
      </c>
      <c r="W11" s="9">
        <f>Calc!C9</f>
        <v>2400</v>
      </c>
      <c r="X11" s="9">
        <f>Calc!D9</f>
        <v>0</v>
      </c>
    </row>
    <row r="12" spans="2:24" x14ac:dyDescent="0.35">
      <c r="V12" t="str">
        <f>Calc!B10</f>
        <v>Music &amp; entertainment</v>
      </c>
      <c r="W12" s="9">
        <f>Calc!C10</f>
        <v>1500</v>
      </c>
      <c r="X12" s="9">
        <f>Calc!D10</f>
        <v>0</v>
      </c>
    </row>
    <row r="13" spans="2:24" x14ac:dyDescent="0.35">
      <c r="B13" s="34" t="s">
        <v>39</v>
      </c>
      <c r="C13" s="35"/>
      <c r="D13" s="35"/>
      <c r="E13" s="35"/>
      <c r="G13" s="34" t="s">
        <v>40</v>
      </c>
      <c r="H13" s="35"/>
      <c r="I13" s="35"/>
      <c r="J13" s="35"/>
      <c r="L13" s="34" t="s">
        <v>41</v>
      </c>
      <c r="M13" s="35"/>
      <c r="N13" s="35"/>
      <c r="O13" s="35"/>
      <c r="V13" t="str">
        <f>Calc!B11</f>
        <v>Wedding planner</v>
      </c>
      <c r="W13" s="9">
        <f>Calc!C11</f>
        <v>900</v>
      </c>
      <c r="X13" s="9">
        <f>Calc!D11</f>
        <v>0</v>
      </c>
    </row>
    <row r="14" spans="2:24" x14ac:dyDescent="0.35">
      <c r="B14" s="39" t="str">
        <f ca="1">IF(ISNUMBER(C3),C3-TODAY(),"Set your date")</f>
        <v>Set your date</v>
      </c>
      <c r="C14" s="35"/>
      <c r="D14" s="35"/>
      <c r="E14" s="35"/>
      <c r="G14" s="38">
        <f ca="1">Calc!C28</f>
        <v>0</v>
      </c>
      <c r="H14" s="35"/>
      <c r="I14" s="35"/>
      <c r="J14" s="35"/>
      <c r="L14" s="40">
        <f ca="1">IF(Calc!C30=0,"None",Calc!C30)</f>
        <v>46508</v>
      </c>
      <c r="M14" s="35"/>
      <c r="N14" s="35"/>
      <c r="O14" s="35"/>
      <c r="V14" t="str">
        <f>Calc!B12</f>
        <v>Rings</v>
      </c>
      <c r="W14" s="9">
        <f>Calc!C12</f>
        <v>900</v>
      </c>
      <c r="X14" s="9">
        <f>Calc!D12</f>
        <v>0</v>
      </c>
    </row>
    <row r="15" spans="2:24" x14ac:dyDescent="0.35">
      <c r="B15" s="35"/>
      <c r="C15" s="35"/>
      <c r="D15" s="35"/>
      <c r="E15" s="35"/>
      <c r="G15" s="35"/>
      <c r="H15" s="35"/>
      <c r="I15" s="35"/>
      <c r="J15" s="35"/>
      <c r="L15" s="35"/>
      <c r="M15" s="35"/>
      <c r="N15" s="35"/>
      <c r="O15" s="35"/>
      <c r="V15" t="str">
        <f>Calc!B13</f>
        <v>Cake &amp; desserts</v>
      </c>
      <c r="W15" s="9">
        <f>Calc!C13</f>
        <v>600</v>
      </c>
      <c r="X15" s="9">
        <f>Calc!D13</f>
        <v>0</v>
      </c>
    </row>
    <row r="16" spans="2:24" x14ac:dyDescent="0.35">
      <c r="V16" t="str">
        <f>Calc!B14</f>
        <v>Stationery</v>
      </c>
      <c r="W16" s="9">
        <f>Calc!C14</f>
        <v>600</v>
      </c>
      <c r="X16" s="9">
        <f>Calc!D14</f>
        <v>0</v>
      </c>
    </row>
    <row r="17" spans="2:24" x14ac:dyDescent="0.35">
      <c r="B17" s="34" t="s">
        <v>42</v>
      </c>
      <c r="C17" s="35"/>
      <c r="D17" s="35"/>
      <c r="E17" s="35"/>
      <c r="G17" s="34" t="s">
        <v>43</v>
      </c>
      <c r="H17" s="35"/>
      <c r="I17" s="35"/>
      <c r="J17" s="35"/>
      <c r="L17" s="34" t="s">
        <v>44</v>
      </c>
      <c r="M17" s="35"/>
      <c r="N17" s="35"/>
      <c r="O17" s="35"/>
      <c r="V17" t="str">
        <f>Calc!B15</f>
        <v>Rentals</v>
      </c>
      <c r="W17" s="9">
        <f>Calc!C15</f>
        <v>600</v>
      </c>
      <c r="X17" s="9">
        <f>Calc!D15</f>
        <v>0</v>
      </c>
    </row>
    <row r="18" spans="2:24" x14ac:dyDescent="0.35">
      <c r="B18" s="36">
        <f>'Guest List'!L20</f>
        <v>2</v>
      </c>
      <c r="C18" s="35"/>
      <c r="D18" s="35"/>
      <c r="E18" s="35"/>
      <c r="G18" s="38">
        <f>'Guest List'!L24</f>
        <v>285</v>
      </c>
      <c r="H18" s="35"/>
      <c r="I18" s="35"/>
      <c r="J18" s="35"/>
      <c r="L18" s="37">
        <f>Calc!C118</f>
        <v>0</v>
      </c>
      <c r="M18" s="35"/>
      <c r="N18" s="35"/>
      <c r="O18" s="35"/>
      <c r="V18" t="str">
        <f>Calc!B16</f>
        <v>Transportation</v>
      </c>
      <c r="W18" s="9">
        <f>Calc!C16</f>
        <v>600</v>
      </c>
      <c r="X18" s="9">
        <f>Calc!D16</f>
        <v>0</v>
      </c>
    </row>
    <row r="19" spans="2:24" x14ac:dyDescent="0.35">
      <c r="B19" s="35"/>
      <c r="C19" s="35"/>
      <c r="D19" s="35"/>
      <c r="E19" s="35"/>
      <c r="G19" s="35"/>
      <c r="H19" s="35"/>
      <c r="I19" s="35"/>
      <c r="J19" s="35"/>
      <c r="L19" s="35"/>
      <c r="M19" s="35"/>
      <c r="N19" s="35"/>
      <c r="O19" s="35"/>
      <c r="V19" t="str">
        <f>Calc!B17</f>
        <v>Favors &amp; gifts</v>
      </c>
      <c r="W19" s="9">
        <f>Calc!C17</f>
        <v>300</v>
      </c>
      <c r="X19" s="9">
        <f>Calc!D17</f>
        <v>0</v>
      </c>
    </row>
    <row r="20" spans="2:24" x14ac:dyDescent="0.35">
      <c r="V20" t="str">
        <f>Calc!B18</f>
        <v>Officiant &amp; license</v>
      </c>
      <c r="W20" s="9">
        <f>Calc!C18</f>
        <v>300</v>
      </c>
      <c r="X20" s="9">
        <f>Calc!D18</f>
        <v>0</v>
      </c>
    </row>
    <row r="21" spans="2:24" x14ac:dyDescent="0.35">
      <c r="B21" s="10" t="str">
        <f ca="1">"RSVPs still out: "&amp;'Guest List'!L21&amp;"   |   Overdue payments: "&amp;Calc!C29&amp;"   |   Overdue tasks: "&amp;Calc!C117&amp;"   |   Tasks done: "&amp;Calc!C116&amp;" of "&amp;Calc!C115</f>
        <v>RSVPs still out: 1   |   Overdue payments: 0   |   Overdue tasks: 0   |   Tasks done: 0 of 50</v>
      </c>
      <c r="V21" t="str">
        <f>Calc!B19</f>
        <v>Contingency / other</v>
      </c>
      <c r="W21" s="9">
        <f>Calc!C19</f>
        <v>1200</v>
      </c>
      <c r="X21" s="9">
        <f>Calc!D19</f>
        <v>0</v>
      </c>
    </row>
    <row r="22" spans="2:24" x14ac:dyDescent="0.35">
      <c r="B22" s="8" t="s">
        <v>45</v>
      </c>
      <c r="V22" t="str">
        <f>Calc!B20</f>
        <v/>
      </c>
      <c r="W22" s="9">
        <f>Calc!C20</f>
        <v>0</v>
      </c>
      <c r="X22" s="9">
        <f>Calc!D20</f>
        <v>0</v>
      </c>
    </row>
    <row r="23" spans="2:24" x14ac:dyDescent="0.35">
      <c r="V23" t="str">
        <f>Calc!B21</f>
        <v/>
      </c>
      <c r="W23" s="9">
        <f>Calc!C21</f>
        <v>0</v>
      </c>
      <c r="X23" s="9">
        <f>Calc!D21</f>
        <v>0</v>
      </c>
    </row>
    <row r="24" spans="2:24" x14ac:dyDescent="0.35">
      <c r="V24" t="str">
        <f>Calc!B22</f>
        <v/>
      </c>
      <c r="W24" s="9">
        <f>Calc!C22</f>
        <v>0</v>
      </c>
      <c r="X24" s="9">
        <f>Calc!D22</f>
        <v>0</v>
      </c>
    </row>
    <row r="27" spans="2:24" x14ac:dyDescent="0.35">
      <c r="V27" t="s">
        <v>46</v>
      </c>
      <c r="W27" t="s">
        <v>47</v>
      </c>
      <c r="X27" t="s">
        <v>48</v>
      </c>
    </row>
    <row r="28" spans="2:24" x14ac:dyDescent="0.35">
      <c r="V28" t="str">
        <f>Calc!C34</f>
        <v>Earlier</v>
      </c>
      <c r="W28" s="9">
        <f ca="1">Calc!D34</f>
        <v>0</v>
      </c>
      <c r="X28" s="9">
        <f ca="1">Calc!E34</f>
        <v>0</v>
      </c>
    </row>
    <row r="29" spans="2:24" x14ac:dyDescent="0.35">
      <c r="V29" t="str">
        <f ca="1">Calc!C35</f>
        <v>Jun 25</v>
      </c>
      <c r="W29" s="9">
        <f ca="1">Calc!D35</f>
        <v>0</v>
      </c>
      <c r="X29" s="9">
        <f ca="1">Calc!E35</f>
        <v>0</v>
      </c>
    </row>
    <row r="30" spans="2:24" x14ac:dyDescent="0.35">
      <c r="V30" t="str">
        <f ca="1">Calc!C36</f>
        <v>Jul 25</v>
      </c>
      <c r="W30" s="9">
        <f ca="1">Calc!D36</f>
        <v>0</v>
      </c>
      <c r="X30" s="9">
        <f ca="1">Calc!E36</f>
        <v>0</v>
      </c>
    </row>
    <row r="31" spans="2:24" x14ac:dyDescent="0.35">
      <c r="V31" t="str">
        <f ca="1">Calc!C37</f>
        <v>Aug 25</v>
      </c>
      <c r="W31" s="9">
        <f ca="1">Calc!D37</f>
        <v>0</v>
      </c>
      <c r="X31" s="9">
        <f ca="1">Calc!E37</f>
        <v>0</v>
      </c>
    </row>
    <row r="32" spans="2:24" x14ac:dyDescent="0.35">
      <c r="V32" t="str">
        <f ca="1">Calc!C38</f>
        <v>Sep 25</v>
      </c>
      <c r="W32" s="9">
        <f ca="1">Calc!D38</f>
        <v>0</v>
      </c>
      <c r="X32" s="9">
        <f ca="1">Calc!E38</f>
        <v>0</v>
      </c>
    </row>
    <row r="33" spans="22:24" x14ac:dyDescent="0.35">
      <c r="V33" t="str">
        <f ca="1">Calc!C39</f>
        <v>Oct 25</v>
      </c>
      <c r="W33" s="9">
        <f ca="1">Calc!D39</f>
        <v>0</v>
      </c>
      <c r="X33" s="9">
        <f ca="1">Calc!E39</f>
        <v>0</v>
      </c>
    </row>
    <row r="34" spans="22:24" x14ac:dyDescent="0.35">
      <c r="V34" t="str">
        <f ca="1">Calc!C40</f>
        <v>Nov 25</v>
      </c>
      <c r="W34" s="9">
        <f ca="1">Calc!D40</f>
        <v>0</v>
      </c>
      <c r="X34" s="9">
        <f ca="1">Calc!E40</f>
        <v>0</v>
      </c>
    </row>
    <row r="35" spans="22:24" x14ac:dyDescent="0.35">
      <c r="V35" t="str">
        <f ca="1">Calc!C41</f>
        <v>Dec 25</v>
      </c>
      <c r="W35" s="9">
        <f ca="1">Calc!D41</f>
        <v>0</v>
      </c>
      <c r="X35" s="9">
        <f ca="1">Calc!E41</f>
        <v>0</v>
      </c>
    </row>
    <row r="36" spans="22:24" x14ac:dyDescent="0.35">
      <c r="V36" t="str">
        <f ca="1">Calc!C42</f>
        <v>Jan 26</v>
      </c>
      <c r="W36" s="9">
        <f ca="1">Calc!D42</f>
        <v>0</v>
      </c>
      <c r="X36" s="9">
        <f ca="1">Calc!E42</f>
        <v>0</v>
      </c>
    </row>
    <row r="37" spans="22:24" x14ac:dyDescent="0.35">
      <c r="V37" t="str">
        <f ca="1">Calc!C43</f>
        <v>Feb 26</v>
      </c>
      <c r="W37" s="9">
        <f ca="1">Calc!D43</f>
        <v>0</v>
      </c>
      <c r="X37" s="9">
        <f ca="1">Calc!E43</f>
        <v>0</v>
      </c>
    </row>
    <row r="38" spans="22:24" x14ac:dyDescent="0.35">
      <c r="V38" t="str">
        <f ca="1">Calc!C44</f>
        <v>Mar 26</v>
      </c>
      <c r="W38" s="9">
        <f ca="1">Calc!D44</f>
        <v>0</v>
      </c>
      <c r="X38" s="9">
        <f ca="1">Calc!E44</f>
        <v>0</v>
      </c>
    </row>
    <row r="39" spans="22:24" x14ac:dyDescent="0.35">
      <c r="V39" t="str">
        <f ca="1">Calc!C45</f>
        <v>Apr 26</v>
      </c>
      <c r="W39" s="9">
        <f ca="1">Calc!D45</f>
        <v>0</v>
      </c>
      <c r="X39" s="9">
        <f ca="1">Calc!E45</f>
        <v>0</v>
      </c>
    </row>
    <row r="40" spans="22:24" x14ac:dyDescent="0.35">
      <c r="V40" t="str">
        <f ca="1">Calc!C46</f>
        <v>May 26</v>
      </c>
      <c r="W40" s="9">
        <f ca="1">Calc!D46</f>
        <v>0</v>
      </c>
      <c r="X40" s="9">
        <f ca="1">Calc!E46</f>
        <v>0</v>
      </c>
    </row>
    <row r="41" spans="22:24" x14ac:dyDescent="0.35">
      <c r="V41" t="str">
        <f ca="1">Calc!C47</f>
        <v>Jun 26</v>
      </c>
      <c r="W41" s="9">
        <f ca="1">Calc!D47</f>
        <v>0</v>
      </c>
      <c r="X41" s="9">
        <f ca="1">Calc!E47</f>
        <v>0</v>
      </c>
    </row>
    <row r="42" spans="22:24" x14ac:dyDescent="0.35">
      <c r="V42" t="str">
        <f ca="1">Calc!C48</f>
        <v>Jul 26</v>
      </c>
      <c r="W42" s="9">
        <f ca="1">Calc!D48</f>
        <v>0</v>
      </c>
      <c r="X42" s="9">
        <f ca="1">Calc!E48</f>
        <v>0</v>
      </c>
    </row>
    <row r="43" spans="22:24" x14ac:dyDescent="0.35">
      <c r="V43" t="str">
        <f ca="1">Calc!C49</f>
        <v>Aug 26</v>
      </c>
      <c r="W43" s="9">
        <f ca="1">Calc!D49</f>
        <v>0</v>
      </c>
      <c r="X43" s="9">
        <f ca="1">Calc!E49</f>
        <v>0</v>
      </c>
    </row>
    <row r="44" spans="22:24" x14ac:dyDescent="0.35">
      <c r="V44" t="str">
        <f ca="1">Calc!C50</f>
        <v>Sep 26</v>
      </c>
      <c r="W44" s="9">
        <f ca="1">Calc!D50</f>
        <v>3000</v>
      </c>
      <c r="X44" s="9">
        <f ca="1">Calc!E50</f>
        <v>0</v>
      </c>
    </row>
    <row r="45" spans="22:24" x14ac:dyDescent="0.35">
      <c r="V45" t="str">
        <f ca="1">Calc!C51</f>
        <v>Oct 26</v>
      </c>
      <c r="W45" s="9">
        <f ca="1">Calc!D51</f>
        <v>0</v>
      </c>
      <c r="X45" s="9">
        <f ca="1">Calc!E51</f>
        <v>0</v>
      </c>
    </row>
    <row r="46" spans="22:24" x14ac:dyDescent="0.35">
      <c r="V46" t="str">
        <f ca="1">Calc!C52</f>
        <v>Nov 26</v>
      </c>
      <c r="W46" s="9">
        <f ca="1">Calc!D52</f>
        <v>0</v>
      </c>
      <c r="X46" s="9">
        <f ca="1">Calc!E52</f>
        <v>0</v>
      </c>
    </row>
    <row r="47" spans="22:24" x14ac:dyDescent="0.35">
      <c r="V47" t="str">
        <f>Calc!C53</f>
        <v>Later</v>
      </c>
      <c r="W47" s="9">
        <f ca="1">Calc!D53</f>
        <v>0</v>
      </c>
      <c r="X47" s="9">
        <f ca="1">Calc!E53</f>
        <v>9000</v>
      </c>
    </row>
    <row r="48" spans="22:24" x14ac:dyDescent="0.35">
      <c r="V48" t="str">
        <f>Calc!C54</f>
        <v>No due date</v>
      </c>
      <c r="W48" s="9">
        <f>Calc!D54</f>
        <v>0</v>
      </c>
      <c r="X48" s="9">
        <f>Calc!E54</f>
        <v>0</v>
      </c>
    </row>
    <row r="51" spans="22:24" x14ac:dyDescent="0.35">
      <c r="V51" t="s">
        <v>49</v>
      </c>
      <c r="W51" t="s">
        <v>50</v>
      </c>
    </row>
    <row r="52" spans="22:24" x14ac:dyDescent="0.35">
      <c r="V52" t="s">
        <v>47</v>
      </c>
      <c r="W52" s="9">
        <f>MAX(0,Calc!C26)</f>
        <v>3000</v>
      </c>
    </row>
    <row r="53" spans="22:24" x14ac:dyDescent="0.35">
      <c r="V53" t="s">
        <v>51</v>
      </c>
      <c r="W53" s="9">
        <f>MAX(0,Calc!C27)</f>
        <v>9000</v>
      </c>
    </row>
    <row r="54" spans="22:24" x14ac:dyDescent="0.35">
      <c r="V54" t="s">
        <v>52</v>
      </c>
      <c r="W54" s="9">
        <f>MAX(0,N(Dashboard!$E$3)-Calc!C25)</f>
        <v>18000</v>
      </c>
    </row>
    <row r="57" spans="22:24" x14ac:dyDescent="0.35">
      <c r="V57" t="s">
        <v>53</v>
      </c>
      <c r="W57" t="s">
        <v>47</v>
      </c>
      <c r="X57" t="s">
        <v>54</v>
      </c>
    </row>
    <row r="58" spans="22:24" x14ac:dyDescent="0.35">
      <c r="V58" t="str">
        <f>Calc!B103</f>
        <v>EXAMPLE Venue</v>
      </c>
      <c r="W58" s="9">
        <f>Calc!E103</f>
        <v>3000</v>
      </c>
      <c r="X58" s="9">
        <f>Calc!F103</f>
        <v>9000</v>
      </c>
    </row>
    <row r="59" spans="22:24" x14ac:dyDescent="0.35">
      <c r="V59" t="str">
        <f>Calc!B104</f>
        <v/>
      </c>
      <c r="W59" s="9">
        <f>Calc!E104</f>
        <v>0</v>
      </c>
      <c r="X59" s="9">
        <f>Calc!F104</f>
        <v>0</v>
      </c>
    </row>
    <row r="60" spans="22:24" x14ac:dyDescent="0.35">
      <c r="V60" t="str">
        <f>Calc!B105</f>
        <v/>
      </c>
      <c r="W60" s="9">
        <f>Calc!E105</f>
        <v>0</v>
      </c>
      <c r="X60" s="9">
        <f>Calc!F105</f>
        <v>0</v>
      </c>
    </row>
    <row r="61" spans="22:24" x14ac:dyDescent="0.35">
      <c r="V61" t="str">
        <f>Calc!B106</f>
        <v/>
      </c>
      <c r="W61" s="9">
        <f>Calc!E106</f>
        <v>0</v>
      </c>
      <c r="X61" s="9">
        <f>Calc!F106</f>
        <v>0</v>
      </c>
    </row>
    <row r="62" spans="22:24" x14ac:dyDescent="0.35">
      <c r="V62" t="str">
        <f>Calc!B107</f>
        <v/>
      </c>
      <c r="W62" s="9">
        <f>Calc!E107</f>
        <v>0</v>
      </c>
      <c r="X62" s="9">
        <f>Calc!F107</f>
        <v>0</v>
      </c>
    </row>
    <row r="63" spans="22:24" x14ac:dyDescent="0.35">
      <c r="V63" t="str">
        <f>Calc!B108</f>
        <v/>
      </c>
      <c r="W63" s="9">
        <f>Calc!E108</f>
        <v>0</v>
      </c>
      <c r="X63" s="9">
        <f>Calc!F108</f>
        <v>0</v>
      </c>
    </row>
    <row r="64" spans="22:24" x14ac:dyDescent="0.35">
      <c r="V64" t="str">
        <f>Calc!B109</f>
        <v/>
      </c>
      <c r="W64" s="9">
        <f>Calc!E109</f>
        <v>0</v>
      </c>
      <c r="X64" s="9">
        <f>Calc!F109</f>
        <v>0</v>
      </c>
    </row>
    <row r="65" spans="22:24" x14ac:dyDescent="0.35">
      <c r="V65" t="str">
        <f>Calc!B110</f>
        <v/>
      </c>
      <c r="W65" s="9">
        <f>Calc!E110</f>
        <v>0</v>
      </c>
      <c r="X65" s="9">
        <f>Calc!F110</f>
        <v>0</v>
      </c>
    </row>
  </sheetData>
  <mergeCells count="24">
    <mergeCell ref="B17:E17"/>
    <mergeCell ref="B13:E13"/>
    <mergeCell ref="G5:J5"/>
    <mergeCell ref="L13:O13"/>
    <mergeCell ref="G17:J17"/>
    <mergeCell ref="L6:O7"/>
    <mergeCell ref="L5:O5"/>
    <mergeCell ref="G13:J13"/>
    <mergeCell ref="B9:E9"/>
    <mergeCell ref="B18:E19"/>
    <mergeCell ref="L9:O9"/>
    <mergeCell ref="B5:E5"/>
    <mergeCell ref="L18:O19"/>
    <mergeCell ref="G10:J11"/>
    <mergeCell ref="B14:E15"/>
    <mergeCell ref="G9:J9"/>
    <mergeCell ref="L14:O15"/>
    <mergeCell ref="L17:O17"/>
    <mergeCell ref="G6:J7"/>
    <mergeCell ref="G18:J19"/>
    <mergeCell ref="L10:O11"/>
    <mergeCell ref="B10:E11"/>
    <mergeCell ref="B6:E7"/>
    <mergeCell ref="G14:J15"/>
  </mergeCells>
  <conditionalFormatting sqref="C3">
    <cfRule type="expression" dxfId="28" priority="1">
      <formula>AND(C3&lt;&gt;"",NOT(ISNUMBER(C3)))</formula>
    </cfRule>
  </conditionalFormatting>
  <conditionalFormatting sqref="E3">
    <cfRule type="expression" dxfId="27" priority="2">
      <formula>AND(E3&lt;&gt;"",NOT(ISNUMBER(E3)))</formula>
    </cfRule>
  </conditionalFormatting>
  <dataValidations count="2">
    <dataValidation type="date" operator="greaterThan" allowBlank="1" showErrorMessage="1" errorTitle="Wedding date" error="Enter a real date, e.g. 6/12/2027." sqref="C3" xr:uid="{00000000-0002-0000-0100-000000000000}">
      <formula1>1</formula1>
    </dataValidation>
    <dataValidation type="decimal" allowBlank="1" showErrorMessage="1" errorTitle="Total budget" error="Enter a number only (no $ sign or text)." sqref="E3" xr:uid="{00000000-0002-0000-0100-000001000000}">
      <formula1>0</formula1>
      <formula2>100000000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4A5A"/>
  </sheetPr>
  <dimension ref="A1:J31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6" customWidth="1"/>
    <col min="2" max="3" width="10" customWidth="1"/>
    <col min="4" max="9" width="13" customWidth="1"/>
    <col min="10" max="10" width="10" customWidth="1"/>
  </cols>
  <sheetData>
    <row r="1" spans="1:10" ht="23" x14ac:dyDescent="0.5">
      <c r="A1" s="1" t="s">
        <v>31</v>
      </c>
    </row>
    <row r="2" spans="1:10" x14ac:dyDescent="0.35">
      <c r="A2" s="2" t="s">
        <v>55</v>
      </c>
      <c r="I2" s="11" t="s">
        <v>56</v>
      </c>
      <c r="J2" s="11">
        <f>SUMPRODUCT((((Budget!$A$7:$A$26&lt;&gt;"")+(Budget!$C$7:$C$26&lt;&gt;"")+(Budget!$D$7:$D$26&lt;&gt;""))&gt;0)*(((Budget!$A$7:$A$26&lt;&gt;"")*(((Budget!$C$7:$C$26="")+ISNUMBER(Budget!$C$7:$C$26))&gt;0)*(((Budget!$D$7:$D$26="")+ISNUMBER(Budget!$D$7:$D$26))&gt;0)*(Budget!$C$7:$C$26&gt;=0)*(Budget!$D$7:$D$26&gt;=0))=0))</f>
        <v>0</v>
      </c>
    </row>
    <row r="3" spans="1:10" x14ac:dyDescent="0.35">
      <c r="A3" s="11" t="s">
        <v>57</v>
      </c>
    </row>
    <row r="4" spans="1:10" x14ac:dyDescent="0.35">
      <c r="A4" s="12" t="s">
        <v>58</v>
      </c>
      <c r="B4" s="13">
        <f>Dashboard!E3</f>
        <v>30000</v>
      </c>
      <c r="C4" s="5" t="s">
        <v>59</v>
      </c>
      <c r="D4" s="13">
        <f>E27</f>
        <v>30000</v>
      </c>
      <c r="E4" s="5" t="s">
        <v>60</v>
      </c>
      <c r="F4" s="13">
        <f>N(Dashboard!$E$3)-E27</f>
        <v>0</v>
      </c>
      <c r="G4" s="8" t="s">
        <v>61</v>
      </c>
    </row>
    <row r="6" spans="1:10" ht="32" customHeight="1" x14ac:dyDescent="0.35">
      <c r="A6" s="14" t="s">
        <v>30</v>
      </c>
      <c r="B6" s="14" t="s">
        <v>62</v>
      </c>
      <c r="C6" s="14" t="s">
        <v>63</v>
      </c>
      <c r="D6" s="14" t="s">
        <v>64</v>
      </c>
      <c r="E6" s="14" t="s">
        <v>31</v>
      </c>
      <c r="F6" s="14" t="s">
        <v>65</v>
      </c>
      <c r="G6" s="14" t="s">
        <v>47</v>
      </c>
      <c r="H6" s="14" t="s">
        <v>51</v>
      </c>
      <c r="I6" s="14" t="s">
        <v>66</v>
      </c>
      <c r="J6" s="14" t="s">
        <v>67</v>
      </c>
    </row>
    <row r="7" spans="1:10" x14ac:dyDescent="0.35">
      <c r="A7" s="15" t="s">
        <v>68</v>
      </c>
      <c r="B7" s="16">
        <v>0.2</v>
      </c>
      <c r="C7" s="17">
        <v>0.2</v>
      </c>
      <c r="D7" s="18"/>
      <c r="E7" s="19">
        <f>IF(A7="","",IF(OR(AND(C7&lt;&gt;"",NOT(ISNUMBER(C7))),AND(D7&lt;&gt;"",NOT(ISNUMBER(D7))),N(C7)&lt;0,N(D7)&lt;0),0,IF(ISNUMBER(D7),D7,N(Dashboard!$E$3)*N(C7))))</f>
        <v>6000</v>
      </c>
      <c r="F7" s="19">
        <f>IF(A7="","",Calc!D3)</f>
        <v>12000</v>
      </c>
      <c r="G7" s="19">
        <f>IF(A7="","",Calc!E3)</f>
        <v>3000</v>
      </c>
      <c r="H7" s="19">
        <f>IF(A7="","",Calc!F3)</f>
        <v>9000</v>
      </c>
      <c r="I7" s="19">
        <f t="shared" ref="I7:I26" si="0">IF(A7="","",E7-F7)</f>
        <v>-6000</v>
      </c>
      <c r="J7" s="20">
        <f t="shared" ref="J7:J26" si="1">IF(OR(A7="",N(E7)=0),"",F7/E7)</f>
        <v>2</v>
      </c>
    </row>
    <row r="8" spans="1:10" x14ac:dyDescent="0.35">
      <c r="A8" s="15" t="s">
        <v>69</v>
      </c>
      <c r="B8" s="16">
        <v>0.25</v>
      </c>
      <c r="C8" s="17">
        <v>0.25</v>
      </c>
      <c r="D8" s="18"/>
      <c r="E8" s="19">
        <f>IF(A8="","",IF(OR(AND(C8&lt;&gt;"",NOT(ISNUMBER(C8))),AND(D8&lt;&gt;"",NOT(ISNUMBER(D8))),N(C8)&lt;0,N(D8)&lt;0),0,IF(ISNUMBER(D8),D8,N(Dashboard!$E$3)*N(C8))))</f>
        <v>7500</v>
      </c>
      <c r="F8" s="19">
        <f>IF(A8="","",Calc!D4)</f>
        <v>0</v>
      </c>
      <c r="G8" s="19">
        <f>IF(A8="","",Calc!E4)</f>
        <v>0</v>
      </c>
      <c r="H8" s="19">
        <f>IF(A8="","",Calc!F4)</f>
        <v>0</v>
      </c>
      <c r="I8" s="19">
        <f t="shared" si="0"/>
        <v>7500</v>
      </c>
      <c r="J8" s="20">
        <f t="shared" si="1"/>
        <v>0</v>
      </c>
    </row>
    <row r="9" spans="1:10" x14ac:dyDescent="0.35">
      <c r="A9" s="15" t="s">
        <v>70</v>
      </c>
      <c r="B9" s="16">
        <v>0.1</v>
      </c>
      <c r="C9" s="17">
        <v>0.1</v>
      </c>
      <c r="D9" s="18"/>
      <c r="E9" s="19">
        <f>IF(A9="","",IF(OR(AND(C9&lt;&gt;"",NOT(ISNUMBER(C9))),AND(D9&lt;&gt;"",NOT(ISNUMBER(D9))),N(C9)&lt;0,N(D9)&lt;0),0,IF(ISNUMBER(D9),D9,N(Dashboard!$E$3)*N(C9))))</f>
        <v>3000</v>
      </c>
      <c r="F9" s="19">
        <f>IF(A9="","",Calc!D5)</f>
        <v>0</v>
      </c>
      <c r="G9" s="19">
        <f>IF(A9="","",Calc!E5)</f>
        <v>0</v>
      </c>
      <c r="H9" s="19">
        <f>IF(A9="","",Calc!F5)</f>
        <v>0</v>
      </c>
      <c r="I9" s="19">
        <f t="shared" si="0"/>
        <v>3000</v>
      </c>
      <c r="J9" s="20">
        <f t="shared" si="1"/>
        <v>0</v>
      </c>
    </row>
    <row r="10" spans="1:10" x14ac:dyDescent="0.35">
      <c r="A10" s="15" t="s">
        <v>71</v>
      </c>
      <c r="B10" s="16">
        <v>0.04</v>
      </c>
      <c r="C10" s="17">
        <v>0.04</v>
      </c>
      <c r="D10" s="18"/>
      <c r="E10" s="19">
        <f>IF(A10="","",IF(OR(AND(C10&lt;&gt;"",NOT(ISNUMBER(C10))),AND(D10&lt;&gt;"",NOT(ISNUMBER(D10))),N(C10)&lt;0,N(D10)&lt;0),0,IF(ISNUMBER(D10),D10,N(Dashboard!$E$3)*N(C10))))</f>
        <v>1200</v>
      </c>
      <c r="F10" s="19">
        <f>IF(A10="","",Calc!D6)</f>
        <v>0</v>
      </c>
      <c r="G10" s="19">
        <f>IF(A10="","",Calc!E6)</f>
        <v>0</v>
      </c>
      <c r="H10" s="19">
        <f>IF(A10="","",Calc!F6)</f>
        <v>0</v>
      </c>
      <c r="I10" s="19">
        <f t="shared" si="0"/>
        <v>1200</v>
      </c>
      <c r="J10" s="20">
        <f t="shared" si="1"/>
        <v>0</v>
      </c>
    </row>
    <row r="11" spans="1:10" x14ac:dyDescent="0.35">
      <c r="A11" s="15" t="s">
        <v>72</v>
      </c>
      <c r="B11" s="16">
        <v>0.06</v>
      </c>
      <c r="C11" s="17">
        <v>0.06</v>
      </c>
      <c r="D11" s="18"/>
      <c r="E11" s="19">
        <f>IF(A11="","",IF(OR(AND(C11&lt;&gt;"",NOT(ISNUMBER(C11))),AND(D11&lt;&gt;"",NOT(ISNUMBER(D11))),N(C11)&lt;0,N(D11)&lt;0),0,IF(ISNUMBER(D11),D11,N(Dashboard!$E$3)*N(C11))))</f>
        <v>1800</v>
      </c>
      <c r="F11" s="19">
        <f>IF(A11="","",Calc!D7)</f>
        <v>0</v>
      </c>
      <c r="G11" s="19">
        <f>IF(A11="","",Calc!E7)</f>
        <v>0</v>
      </c>
      <c r="H11" s="19">
        <f>IF(A11="","",Calc!F7)</f>
        <v>0</v>
      </c>
      <c r="I11" s="19">
        <f t="shared" si="0"/>
        <v>1800</v>
      </c>
      <c r="J11" s="20">
        <f t="shared" si="1"/>
        <v>0</v>
      </c>
    </row>
    <row r="12" spans="1:10" x14ac:dyDescent="0.35">
      <c r="A12" s="15" t="s">
        <v>73</v>
      </c>
      <c r="B12" s="16">
        <v>0.02</v>
      </c>
      <c r="C12" s="17">
        <v>0.02</v>
      </c>
      <c r="D12" s="18"/>
      <c r="E12" s="19">
        <f>IF(A12="","",IF(OR(AND(C12&lt;&gt;"",NOT(ISNUMBER(C12))),AND(D12&lt;&gt;"",NOT(ISNUMBER(D12))),N(C12)&lt;0,N(D12)&lt;0),0,IF(ISNUMBER(D12),D12,N(Dashboard!$E$3)*N(C12))))</f>
        <v>600</v>
      </c>
      <c r="F12" s="19">
        <f>IF(A12="","",Calc!D8)</f>
        <v>0</v>
      </c>
      <c r="G12" s="19">
        <f>IF(A12="","",Calc!E8)</f>
        <v>0</v>
      </c>
      <c r="H12" s="19">
        <f>IF(A12="","",Calc!F8)</f>
        <v>0</v>
      </c>
      <c r="I12" s="19">
        <f t="shared" si="0"/>
        <v>600</v>
      </c>
      <c r="J12" s="20">
        <f t="shared" si="1"/>
        <v>0</v>
      </c>
    </row>
    <row r="13" spans="1:10" x14ac:dyDescent="0.35">
      <c r="A13" s="15" t="s">
        <v>74</v>
      </c>
      <c r="B13" s="16">
        <v>0.08</v>
      </c>
      <c r="C13" s="17">
        <v>0.08</v>
      </c>
      <c r="D13" s="18"/>
      <c r="E13" s="19">
        <f>IF(A13="","",IF(OR(AND(C13&lt;&gt;"",NOT(ISNUMBER(C13))),AND(D13&lt;&gt;"",NOT(ISNUMBER(D13))),N(C13)&lt;0,N(D13)&lt;0),0,IF(ISNUMBER(D13),D13,N(Dashboard!$E$3)*N(C13))))</f>
        <v>2400</v>
      </c>
      <c r="F13" s="19">
        <f>IF(A13="","",Calc!D9)</f>
        <v>0</v>
      </c>
      <c r="G13" s="19">
        <f>IF(A13="","",Calc!E9)</f>
        <v>0</v>
      </c>
      <c r="H13" s="19">
        <f>IF(A13="","",Calc!F9)</f>
        <v>0</v>
      </c>
      <c r="I13" s="19">
        <f t="shared" si="0"/>
        <v>2400</v>
      </c>
      <c r="J13" s="20">
        <f t="shared" si="1"/>
        <v>0</v>
      </c>
    </row>
    <row r="14" spans="1:10" x14ac:dyDescent="0.35">
      <c r="A14" s="15" t="s">
        <v>75</v>
      </c>
      <c r="B14" s="16">
        <v>0.05</v>
      </c>
      <c r="C14" s="17">
        <v>0.05</v>
      </c>
      <c r="D14" s="18"/>
      <c r="E14" s="19">
        <f>IF(A14="","",IF(OR(AND(C14&lt;&gt;"",NOT(ISNUMBER(C14))),AND(D14&lt;&gt;"",NOT(ISNUMBER(D14))),N(C14)&lt;0,N(D14)&lt;0),0,IF(ISNUMBER(D14),D14,N(Dashboard!$E$3)*N(C14))))</f>
        <v>1500</v>
      </c>
      <c r="F14" s="19">
        <f>IF(A14="","",Calc!D10)</f>
        <v>0</v>
      </c>
      <c r="G14" s="19">
        <f>IF(A14="","",Calc!E10)</f>
        <v>0</v>
      </c>
      <c r="H14" s="19">
        <f>IF(A14="","",Calc!F10)</f>
        <v>0</v>
      </c>
      <c r="I14" s="19">
        <f t="shared" si="0"/>
        <v>1500</v>
      </c>
      <c r="J14" s="20">
        <f t="shared" si="1"/>
        <v>0</v>
      </c>
    </row>
    <row r="15" spans="1:10" x14ac:dyDescent="0.35">
      <c r="A15" s="15" t="s">
        <v>76</v>
      </c>
      <c r="B15" s="16">
        <v>0.03</v>
      </c>
      <c r="C15" s="17">
        <v>0.03</v>
      </c>
      <c r="D15" s="18"/>
      <c r="E15" s="19">
        <f>IF(A15="","",IF(OR(AND(C15&lt;&gt;"",NOT(ISNUMBER(C15))),AND(D15&lt;&gt;"",NOT(ISNUMBER(D15))),N(C15)&lt;0,N(D15)&lt;0),0,IF(ISNUMBER(D15),D15,N(Dashboard!$E$3)*N(C15))))</f>
        <v>900</v>
      </c>
      <c r="F15" s="19">
        <f>IF(A15="","",Calc!D11)</f>
        <v>0</v>
      </c>
      <c r="G15" s="19">
        <f>IF(A15="","",Calc!E11)</f>
        <v>0</v>
      </c>
      <c r="H15" s="19">
        <f>IF(A15="","",Calc!F11)</f>
        <v>0</v>
      </c>
      <c r="I15" s="19">
        <f t="shared" si="0"/>
        <v>900</v>
      </c>
      <c r="J15" s="20">
        <f t="shared" si="1"/>
        <v>0</v>
      </c>
    </row>
    <row r="16" spans="1:10" x14ac:dyDescent="0.35">
      <c r="A16" s="15" t="s">
        <v>77</v>
      </c>
      <c r="B16" s="16">
        <v>0.03</v>
      </c>
      <c r="C16" s="17">
        <v>0.03</v>
      </c>
      <c r="D16" s="18"/>
      <c r="E16" s="19">
        <f>IF(A16="","",IF(OR(AND(C16&lt;&gt;"",NOT(ISNUMBER(C16))),AND(D16&lt;&gt;"",NOT(ISNUMBER(D16))),N(C16)&lt;0,N(D16)&lt;0),0,IF(ISNUMBER(D16),D16,N(Dashboard!$E$3)*N(C16))))</f>
        <v>900</v>
      </c>
      <c r="F16" s="19">
        <f>IF(A16="","",Calc!D12)</f>
        <v>0</v>
      </c>
      <c r="G16" s="19">
        <f>IF(A16="","",Calc!E12)</f>
        <v>0</v>
      </c>
      <c r="H16" s="19">
        <f>IF(A16="","",Calc!F12)</f>
        <v>0</v>
      </c>
      <c r="I16" s="19">
        <f t="shared" si="0"/>
        <v>900</v>
      </c>
      <c r="J16" s="20">
        <f t="shared" si="1"/>
        <v>0</v>
      </c>
    </row>
    <row r="17" spans="1:10" x14ac:dyDescent="0.35">
      <c r="A17" s="15" t="s">
        <v>78</v>
      </c>
      <c r="B17" s="16">
        <v>0.02</v>
      </c>
      <c r="C17" s="17">
        <v>0.02</v>
      </c>
      <c r="D17" s="18"/>
      <c r="E17" s="19">
        <f>IF(A17="","",IF(OR(AND(C17&lt;&gt;"",NOT(ISNUMBER(C17))),AND(D17&lt;&gt;"",NOT(ISNUMBER(D17))),N(C17)&lt;0,N(D17)&lt;0),0,IF(ISNUMBER(D17),D17,N(Dashboard!$E$3)*N(C17))))</f>
        <v>600</v>
      </c>
      <c r="F17" s="19">
        <f>IF(A17="","",Calc!D13)</f>
        <v>0</v>
      </c>
      <c r="G17" s="19">
        <f>IF(A17="","",Calc!E13)</f>
        <v>0</v>
      </c>
      <c r="H17" s="19">
        <f>IF(A17="","",Calc!F13)</f>
        <v>0</v>
      </c>
      <c r="I17" s="19">
        <f t="shared" si="0"/>
        <v>600</v>
      </c>
      <c r="J17" s="20">
        <f t="shared" si="1"/>
        <v>0</v>
      </c>
    </row>
    <row r="18" spans="1:10" x14ac:dyDescent="0.35">
      <c r="A18" s="15" t="s">
        <v>79</v>
      </c>
      <c r="B18" s="16">
        <v>0.02</v>
      </c>
      <c r="C18" s="17">
        <v>0.02</v>
      </c>
      <c r="D18" s="18"/>
      <c r="E18" s="19">
        <f>IF(A18="","",IF(OR(AND(C18&lt;&gt;"",NOT(ISNUMBER(C18))),AND(D18&lt;&gt;"",NOT(ISNUMBER(D18))),N(C18)&lt;0,N(D18)&lt;0),0,IF(ISNUMBER(D18),D18,N(Dashboard!$E$3)*N(C18))))</f>
        <v>600</v>
      </c>
      <c r="F18" s="19">
        <f>IF(A18="","",Calc!D14)</f>
        <v>0</v>
      </c>
      <c r="G18" s="19">
        <f>IF(A18="","",Calc!E14)</f>
        <v>0</v>
      </c>
      <c r="H18" s="19">
        <f>IF(A18="","",Calc!F14)</f>
        <v>0</v>
      </c>
      <c r="I18" s="19">
        <f t="shared" si="0"/>
        <v>600</v>
      </c>
      <c r="J18" s="20">
        <f t="shared" si="1"/>
        <v>0</v>
      </c>
    </row>
    <row r="19" spans="1:10" x14ac:dyDescent="0.35">
      <c r="A19" s="15" t="s">
        <v>80</v>
      </c>
      <c r="B19" s="16">
        <v>0.02</v>
      </c>
      <c r="C19" s="17">
        <v>0.02</v>
      </c>
      <c r="D19" s="18"/>
      <c r="E19" s="19">
        <f>IF(A19="","",IF(OR(AND(C19&lt;&gt;"",NOT(ISNUMBER(C19))),AND(D19&lt;&gt;"",NOT(ISNUMBER(D19))),N(C19)&lt;0,N(D19)&lt;0),0,IF(ISNUMBER(D19),D19,N(Dashboard!$E$3)*N(C19))))</f>
        <v>600</v>
      </c>
      <c r="F19" s="19">
        <f>IF(A19="","",Calc!D15)</f>
        <v>0</v>
      </c>
      <c r="G19" s="19">
        <f>IF(A19="","",Calc!E15)</f>
        <v>0</v>
      </c>
      <c r="H19" s="19">
        <f>IF(A19="","",Calc!F15)</f>
        <v>0</v>
      </c>
      <c r="I19" s="19">
        <f t="shared" si="0"/>
        <v>600</v>
      </c>
      <c r="J19" s="20">
        <f t="shared" si="1"/>
        <v>0</v>
      </c>
    </row>
    <row r="20" spans="1:10" x14ac:dyDescent="0.35">
      <c r="A20" s="15" t="s">
        <v>81</v>
      </c>
      <c r="B20" s="16">
        <v>0.02</v>
      </c>
      <c r="C20" s="17">
        <v>0.02</v>
      </c>
      <c r="D20" s="18"/>
      <c r="E20" s="19">
        <f>IF(A20="","",IF(OR(AND(C20&lt;&gt;"",NOT(ISNUMBER(C20))),AND(D20&lt;&gt;"",NOT(ISNUMBER(D20))),N(C20)&lt;0,N(D20)&lt;0),0,IF(ISNUMBER(D20),D20,N(Dashboard!$E$3)*N(C20))))</f>
        <v>600</v>
      </c>
      <c r="F20" s="19">
        <f>IF(A20="","",Calc!D16)</f>
        <v>0</v>
      </c>
      <c r="G20" s="19">
        <f>IF(A20="","",Calc!E16)</f>
        <v>0</v>
      </c>
      <c r="H20" s="19">
        <f>IF(A20="","",Calc!F16)</f>
        <v>0</v>
      </c>
      <c r="I20" s="19">
        <f t="shared" si="0"/>
        <v>600</v>
      </c>
      <c r="J20" s="20">
        <f t="shared" si="1"/>
        <v>0</v>
      </c>
    </row>
    <row r="21" spans="1:10" x14ac:dyDescent="0.35">
      <c r="A21" s="15" t="s">
        <v>82</v>
      </c>
      <c r="B21" s="16">
        <v>0.01</v>
      </c>
      <c r="C21" s="17">
        <v>0.01</v>
      </c>
      <c r="D21" s="18"/>
      <c r="E21" s="19">
        <f>IF(A21="","",IF(OR(AND(C21&lt;&gt;"",NOT(ISNUMBER(C21))),AND(D21&lt;&gt;"",NOT(ISNUMBER(D21))),N(C21)&lt;0,N(D21)&lt;0),0,IF(ISNUMBER(D21),D21,N(Dashboard!$E$3)*N(C21))))</f>
        <v>300</v>
      </c>
      <c r="F21" s="19">
        <f>IF(A21="","",Calc!D17)</f>
        <v>0</v>
      </c>
      <c r="G21" s="19">
        <f>IF(A21="","",Calc!E17)</f>
        <v>0</v>
      </c>
      <c r="H21" s="19">
        <f>IF(A21="","",Calc!F17)</f>
        <v>0</v>
      </c>
      <c r="I21" s="19">
        <f t="shared" si="0"/>
        <v>300</v>
      </c>
      <c r="J21" s="20">
        <f t="shared" si="1"/>
        <v>0</v>
      </c>
    </row>
    <row r="22" spans="1:10" x14ac:dyDescent="0.35">
      <c r="A22" s="15" t="s">
        <v>83</v>
      </c>
      <c r="B22" s="16">
        <v>0.01</v>
      </c>
      <c r="C22" s="17">
        <v>0.01</v>
      </c>
      <c r="D22" s="18"/>
      <c r="E22" s="19">
        <f>IF(A22="","",IF(OR(AND(C22&lt;&gt;"",NOT(ISNUMBER(C22))),AND(D22&lt;&gt;"",NOT(ISNUMBER(D22))),N(C22)&lt;0,N(D22)&lt;0),0,IF(ISNUMBER(D22),D22,N(Dashboard!$E$3)*N(C22))))</f>
        <v>300</v>
      </c>
      <c r="F22" s="19">
        <f>IF(A22="","",Calc!D18)</f>
        <v>0</v>
      </c>
      <c r="G22" s="19">
        <f>IF(A22="","",Calc!E18)</f>
        <v>0</v>
      </c>
      <c r="H22" s="19">
        <f>IF(A22="","",Calc!F18)</f>
        <v>0</v>
      </c>
      <c r="I22" s="19">
        <f t="shared" si="0"/>
        <v>300</v>
      </c>
      <c r="J22" s="20">
        <f t="shared" si="1"/>
        <v>0</v>
      </c>
    </row>
    <row r="23" spans="1:10" x14ac:dyDescent="0.35">
      <c r="A23" s="15" t="s">
        <v>84</v>
      </c>
      <c r="B23" s="16">
        <v>0.04</v>
      </c>
      <c r="C23" s="17">
        <v>0.04</v>
      </c>
      <c r="D23" s="18"/>
      <c r="E23" s="19">
        <f>IF(A23="","",IF(OR(AND(C23&lt;&gt;"",NOT(ISNUMBER(C23))),AND(D23&lt;&gt;"",NOT(ISNUMBER(D23))),N(C23)&lt;0,N(D23)&lt;0),0,IF(ISNUMBER(D23),D23,N(Dashboard!$E$3)*N(C23))))</f>
        <v>1200</v>
      </c>
      <c r="F23" s="19">
        <f>IF(A23="","",Calc!D19)</f>
        <v>0</v>
      </c>
      <c r="G23" s="19">
        <f>IF(A23="","",Calc!E19)</f>
        <v>0</v>
      </c>
      <c r="H23" s="19">
        <f>IF(A23="","",Calc!F19)</f>
        <v>0</v>
      </c>
      <c r="I23" s="19">
        <f t="shared" si="0"/>
        <v>1200</v>
      </c>
      <c r="J23" s="20">
        <f t="shared" si="1"/>
        <v>0</v>
      </c>
    </row>
    <row r="24" spans="1:10" x14ac:dyDescent="0.35">
      <c r="A24" s="15"/>
      <c r="B24" s="16"/>
      <c r="C24" s="17"/>
      <c r="D24" s="18"/>
      <c r="E24" s="19" t="str">
        <f>IF(A24="","",IF(OR(AND(C24&lt;&gt;"",NOT(ISNUMBER(C24))),AND(D24&lt;&gt;"",NOT(ISNUMBER(D24))),N(C24)&lt;0,N(D24)&lt;0),0,IF(ISNUMBER(D24),D24,N(Dashboard!$E$3)*N(C24))))</f>
        <v/>
      </c>
      <c r="F24" s="19" t="str">
        <f>IF(A24="","",Calc!D20)</f>
        <v/>
      </c>
      <c r="G24" s="19" t="str">
        <f>IF(A24="","",Calc!E20)</f>
        <v/>
      </c>
      <c r="H24" s="19" t="str">
        <f>IF(A24="","",Calc!F20)</f>
        <v/>
      </c>
      <c r="I24" s="19" t="str">
        <f t="shared" si="0"/>
        <v/>
      </c>
      <c r="J24" s="20" t="str">
        <f t="shared" si="1"/>
        <v/>
      </c>
    </row>
    <row r="25" spans="1:10" x14ac:dyDescent="0.35">
      <c r="A25" s="15"/>
      <c r="B25" s="16"/>
      <c r="C25" s="17"/>
      <c r="D25" s="18"/>
      <c r="E25" s="19" t="str">
        <f>IF(A25="","",IF(OR(AND(C25&lt;&gt;"",NOT(ISNUMBER(C25))),AND(D25&lt;&gt;"",NOT(ISNUMBER(D25))),N(C25)&lt;0,N(D25)&lt;0),0,IF(ISNUMBER(D25),D25,N(Dashboard!$E$3)*N(C25))))</f>
        <v/>
      </c>
      <c r="F25" s="19" t="str">
        <f>IF(A25="","",Calc!D21)</f>
        <v/>
      </c>
      <c r="G25" s="19" t="str">
        <f>IF(A25="","",Calc!E21)</f>
        <v/>
      </c>
      <c r="H25" s="19" t="str">
        <f>IF(A25="","",Calc!F21)</f>
        <v/>
      </c>
      <c r="I25" s="19" t="str">
        <f t="shared" si="0"/>
        <v/>
      </c>
      <c r="J25" s="20" t="str">
        <f t="shared" si="1"/>
        <v/>
      </c>
    </row>
    <row r="26" spans="1:10" x14ac:dyDescent="0.35">
      <c r="A26" s="15"/>
      <c r="B26" s="16"/>
      <c r="C26" s="17"/>
      <c r="D26" s="18"/>
      <c r="E26" s="19" t="str">
        <f>IF(A26="","",IF(OR(AND(C26&lt;&gt;"",NOT(ISNUMBER(C26))),AND(D26&lt;&gt;"",NOT(ISNUMBER(D26))),N(C26)&lt;0,N(D26)&lt;0),0,IF(ISNUMBER(D26),D26,N(Dashboard!$E$3)*N(C26))))</f>
        <v/>
      </c>
      <c r="F26" s="19" t="str">
        <f>IF(A26="","",Calc!D22)</f>
        <v/>
      </c>
      <c r="G26" s="19" t="str">
        <f>IF(A26="","",Calc!E22)</f>
        <v/>
      </c>
      <c r="H26" s="19" t="str">
        <f>IF(A26="","",Calc!F22)</f>
        <v/>
      </c>
      <c r="I26" s="19" t="str">
        <f t="shared" si="0"/>
        <v/>
      </c>
      <c r="J26" s="20" t="str">
        <f t="shared" si="1"/>
        <v/>
      </c>
    </row>
    <row r="27" spans="1:10" x14ac:dyDescent="0.35">
      <c r="A27" s="21" t="s">
        <v>85</v>
      </c>
      <c r="B27" s="21"/>
      <c r="C27" s="22">
        <f>SUM(C7:C26)</f>
        <v>1.0000000000000002</v>
      </c>
      <c r="D27" s="21"/>
      <c r="E27" s="23">
        <f>SUM(E7:E26)</f>
        <v>30000</v>
      </c>
      <c r="F27" s="23">
        <f>SUM(F7:F26)</f>
        <v>12000</v>
      </c>
      <c r="G27" s="23">
        <f>SUM(G7:G26)</f>
        <v>3000</v>
      </c>
      <c r="H27" s="23">
        <f>SUM(H7:H26)</f>
        <v>9000</v>
      </c>
      <c r="I27" s="23">
        <f>SUM(I7:I26)</f>
        <v>18000</v>
      </c>
      <c r="J27" s="24">
        <f>IF(E27=0,"",F27/E27)</f>
        <v>0.4</v>
      </c>
    </row>
    <row r="29" spans="1:10" x14ac:dyDescent="0.35">
      <c r="A29" s="10" t="str">
        <f>"Catering estimate from your Guest List: "&amp;TEXT('Guest List'!L23,"0")&amp;" guests x "&amp;TEXT('Guest List'!L16,"$#,##0")&amp;" = "&amp;TEXT('Guest List'!L24,"$#,##0")&amp;"   |   your Catering &amp; bar budget: "&amp;TEXT(SUMIF(A7:A26,"Catering &amp; bar",E7:E26),"$#,##0")</f>
        <v>Catering estimate from your Guest List: 3 guests x $95 = $285   |   your Catering &amp; bar budget: $7,500</v>
      </c>
    </row>
    <row r="30" spans="1:10" x14ac:dyDescent="0.35">
      <c r="A30" s="8" t="s">
        <v>86</v>
      </c>
    </row>
    <row r="31" spans="1:10" x14ac:dyDescent="0.35">
      <c r="A31" s="8" t="s">
        <v>87</v>
      </c>
    </row>
  </sheetData>
  <conditionalFormatting sqref="A7:A26">
    <cfRule type="expression" dxfId="26" priority="2">
      <formula>AND(A7="",OR(C7&lt;&gt;"",D7&lt;&gt;""))</formula>
    </cfRule>
  </conditionalFormatting>
  <conditionalFormatting sqref="C7:D26">
    <cfRule type="expression" dxfId="25" priority="1">
      <formula>AND(C7&lt;&gt;"",OR(NOT(ISNUMBER(C7)),N(C7)&lt;0))</formula>
    </cfRule>
  </conditionalFormatting>
  <conditionalFormatting sqref="I7:I26">
    <cfRule type="expression" dxfId="24" priority="3">
      <formula>AND(ISNUMBER(I7),I7&lt;0)</formula>
    </cfRule>
  </conditionalFormatting>
  <dataValidations count="3">
    <dataValidation type="custom" allowBlank="1" showErrorMessage="1" errorTitle="Category" error="Each category needs a unique name without * ? or ~ characters." sqref="A7:A26" xr:uid="{00000000-0002-0000-0200-000000000000}">
      <formula1>AND(ISERROR(FIND("*",A7)),ISERROR(FIND("?",A7)),ISERROR(FIND("~",A7)),SUMPRODUCT(--($A$7:$A$26=A7))=1)</formula1>
    </dataValidation>
    <dataValidation type="decimal" allowBlank="1" showErrorMessage="1" errorTitle="Your %" error="Enter a percentage, e.g. 20%." sqref="C7:C26" xr:uid="{00000000-0002-0000-0200-000001000000}">
      <formula1>0</formula1>
      <formula2>1</formula2>
    </dataValidation>
    <dataValidation type="decimal" allowBlank="1" showErrorMessage="1" errorTitle="Amount" error="Enter a number only (no $ sign or text)." sqref="D7:D26" xr:uid="{00000000-0002-0000-0200-000002000000}">
      <formula1>0</formula1>
      <formula2>100000000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A4A5A"/>
  </sheetPr>
  <dimension ref="A1:H5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24" customWidth="1"/>
    <col min="4" max="4" width="34" customWidth="1"/>
    <col min="5" max="5" width="13" customWidth="1"/>
    <col min="6" max="6" width="11" customWidth="1"/>
    <col min="7" max="7" width="13" customWidth="1"/>
    <col min="8" max="8" width="16" customWidth="1"/>
  </cols>
  <sheetData>
    <row r="1" spans="1:8" ht="23" x14ac:dyDescent="0.5">
      <c r="A1" s="1" t="s">
        <v>88</v>
      </c>
    </row>
    <row r="2" spans="1:8" x14ac:dyDescent="0.35">
      <c r="A2" s="2" t="s">
        <v>89</v>
      </c>
      <c r="G2" s="11" t="s">
        <v>56</v>
      </c>
      <c r="H2" s="11">
        <f>SUMPRODUCT((((Payments!$A$5:$A$504&lt;&gt;"")+(Payments!$B$5:$B$504&lt;&gt;"")+(Payments!$C$5:$C$504&lt;&gt;"")+(Payments!$E$5:$E$504&lt;&gt;"")+(Payments!$F$5:$F$504&lt;&gt;"")+(Payments!$G$5:$G$504&lt;&gt;""))&gt;0)*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=0))</f>
        <v>0</v>
      </c>
    </row>
    <row r="3" spans="1:8" x14ac:dyDescent="0.35">
      <c r="A3" s="11" t="s">
        <v>90</v>
      </c>
    </row>
    <row r="4" spans="1:8" ht="26" x14ac:dyDescent="0.35">
      <c r="A4" s="14" t="s">
        <v>91</v>
      </c>
      <c r="B4" s="14" t="s">
        <v>30</v>
      </c>
      <c r="C4" s="14" t="s">
        <v>92</v>
      </c>
      <c r="D4" s="14" t="s">
        <v>93</v>
      </c>
      <c r="E4" s="14" t="s">
        <v>50</v>
      </c>
      <c r="F4" s="14" t="s">
        <v>94</v>
      </c>
      <c r="G4" s="14" t="s">
        <v>95</v>
      </c>
      <c r="H4" s="14" t="s">
        <v>96</v>
      </c>
    </row>
    <row r="5" spans="1:8" x14ac:dyDescent="0.35">
      <c r="A5" s="25">
        <v>46266</v>
      </c>
      <c r="B5" s="15" t="s">
        <v>68</v>
      </c>
      <c r="C5" s="15" t="s">
        <v>97</v>
      </c>
      <c r="D5" s="15" t="s">
        <v>98</v>
      </c>
      <c r="E5" s="18">
        <v>3000</v>
      </c>
      <c r="F5" s="15" t="s">
        <v>47</v>
      </c>
      <c r="G5" s="25"/>
      <c r="H5" s="11" t="str">
        <f t="shared" ref="H5:H68" ca="1" si="0">IF(AND(F5="Owed",ISNUMBER(G5)),IF(G5&lt;TODAY(),"OVERDUE",IF(G5-TODAY()&lt;=30,"Due in "&amp;(G5-TODAY())&amp;" days","")),"")</f>
        <v/>
      </c>
    </row>
    <row r="6" spans="1:8" x14ac:dyDescent="0.35">
      <c r="A6" s="25">
        <v>46266</v>
      </c>
      <c r="B6" s="15" t="s">
        <v>68</v>
      </c>
      <c r="C6" s="15" t="s">
        <v>97</v>
      </c>
      <c r="D6" s="15" t="s">
        <v>99</v>
      </c>
      <c r="E6" s="18">
        <v>9000</v>
      </c>
      <c r="F6" s="15" t="s">
        <v>54</v>
      </c>
      <c r="G6" s="25">
        <v>46508</v>
      </c>
      <c r="H6" s="11" t="str">
        <f t="shared" ca="1" si="0"/>
        <v/>
      </c>
    </row>
    <row r="7" spans="1:8" x14ac:dyDescent="0.35">
      <c r="A7" s="25"/>
      <c r="B7" s="15"/>
      <c r="C7" s="15"/>
      <c r="D7" s="15"/>
      <c r="E7" s="18"/>
      <c r="F7" s="15"/>
      <c r="G7" s="25"/>
      <c r="H7" s="11" t="str">
        <f t="shared" ca="1" si="0"/>
        <v/>
      </c>
    </row>
    <row r="8" spans="1:8" x14ac:dyDescent="0.35">
      <c r="A8" s="25"/>
      <c r="B8" s="15"/>
      <c r="C8" s="15"/>
      <c r="D8" s="15"/>
      <c r="E8" s="18"/>
      <c r="F8" s="15"/>
      <c r="G8" s="25"/>
      <c r="H8" s="11" t="str">
        <f t="shared" ca="1" si="0"/>
        <v/>
      </c>
    </row>
    <row r="9" spans="1:8" x14ac:dyDescent="0.35">
      <c r="A9" s="25"/>
      <c r="B9" s="15"/>
      <c r="C9" s="15"/>
      <c r="D9" s="15"/>
      <c r="E9" s="18"/>
      <c r="F9" s="15"/>
      <c r="G9" s="25"/>
      <c r="H9" s="11" t="str">
        <f t="shared" ca="1" si="0"/>
        <v/>
      </c>
    </row>
    <row r="10" spans="1:8" x14ac:dyDescent="0.35">
      <c r="A10" s="25"/>
      <c r="B10" s="15"/>
      <c r="C10" s="15"/>
      <c r="D10" s="15"/>
      <c r="E10" s="18"/>
      <c r="F10" s="15"/>
      <c r="G10" s="25"/>
      <c r="H10" s="11" t="str">
        <f t="shared" ca="1" si="0"/>
        <v/>
      </c>
    </row>
    <row r="11" spans="1:8" x14ac:dyDescent="0.35">
      <c r="A11" s="25"/>
      <c r="B11" s="15"/>
      <c r="C11" s="15"/>
      <c r="D11" s="15"/>
      <c r="E11" s="18"/>
      <c r="F11" s="15"/>
      <c r="G11" s="25"/>
      <c r="H11" s="11" t="str">
        <f t="shared" ca="1" si="0"/>
        <v/>
      </c>
    </row>
    <row r="12" spans="1:8" x14ac:dyDescent="0.35">
      <c r="A12" s="25"/>
      <c r="B12" s="15"/>
      <c r="C12" s="15"/>
      <c r="D12" s="15"/>
      <c r="E12" s="18"/>
      <c r="F12" s="15"/>
      <c r="G12" s="25"/>
      <c r="H12" s="11" t="str">
        <f t="shared" ca="1" si="0"/>
        <v/>
      </c>
    </row>
    <row r="13" spans="1:8" x14ac:dyDescent="0.35">
      <c r="A13" s="25"/>
      <c r="B13" s="15"/>
      <c r="C13" s="15"/>
      <c r="D13" s="15"/>
      <c r="E13" s="18"/>
      <c r="F13" s="15"/>
      <c r="G13" s="25"/>
      <c r="H13" s="11" t="str">
        <f t="shared" ca="1" si="0"/>
        <v/>
      </c>
    </row>
    <row r="14" spans="1:8" x14ac:dyDescent="0.35">
      <c r="A14" s="25"/>
      <c r="B14" s="15"/>
      <c r="C14" s="15"/>
      <c r="D14" s="15"/>
      <c r="E14" s="18"/>
      <c r="F14" s="15"/>
      <c r="G14" s="25"/>
      <c r="H14" s="11" t="str">
        <f t="shared" ca="1" si="0"/>
        <v/>
      </c>
    </row>
    <row r="15" spans="1:8" x14ac:dyDescent="0.35">
      <c r="A15" s="25"/>
      <c r="B15" s="15"/>
      <c r="C15" s="15"/>
      <c r="D15" s="15"/>
      <c r="E15" s="18"/>
      <c r="F15" s="15"/>
      <c r="G15" s="25"/>
      <c r="H15" s="11" t="str">
        <f t="shared" ca="1" si="0"/>
        <v/>
      </c>
    </row>
    <row r="16" spans="1:8" x14ac:dyDescent="0.35">
      <c r="A16" s="25"/>
      <c r="B16" s="15"/>
      <c r="C16" s="15"/>
      <c r="D16" s="15"/>
      <c r="E16" s="18"/>
      <c r="F16" s="15"/>
      <c r="G16" s="25"/>
      <c r="H16" s="11" t="str">
        <f t="shared" ca="1" si="0"/>
        <v/>
      </c>
    </row>
    <row r="17" spans="1:8" x14ac:dyDescent="0.35">
      <c r="A17" s="25"/>
      <c r="B17" s="15"/>
      <c r="C17" s="15"/>
      <c r="D17" s="15"/>
      <c r="E17" s="18"/>
      <c r="F17" s="15"/>
      <c r="G17" s="25"/>
      <c r="H17" s="11" t="str">
        <f t="shared" ca="1" si="0"/>
        <v/>
      </c>
    </row>
    <row r="18" spans="1:8" x14ac:dyDescent="0.35">
      <c r="A18" s="25"/>
      <c r="B18" s="15"/>
      <c r="C18" s="15"/>
      <c r="D18" s="15"/>
      <c r="E18" s="18"/>
      <c r="F18" s="15"/>
      <c r="G18" s="25"/>
      <c r="H18" s="11" t="str">
        <f t="shared" ca="1" si="0"/>
        <v/>
      </c>
    </row>
    <row r="19" spans="1:8" x14ac:dyDescent="0.35">
      <c r="A19" s="25"/>
      <c r="B19" s="15"/>
      <c r="C19" s="15"/>
      <c r="D19" s="15"/>
      <c r="E19" s="18"/>
      <c r="F19" s="15"/>
      <c r="G19" s="25"/>
      <c r="H19" s="11" t="str">
        <f t="shared" ca="1" si="0"/>
        <v/>
      </c>
    </row>
    <row r="20" spans="1:8" x14ac:dyDescent="0.35">
      <c r="A20" s="25"/>
      <c r="B20" s="15"/>
      <c r="C20" s="15"/>
      <c r="D20" s="15"/>
      <c r="E20" s="18"/>
      <c r="F20" s="15"/>
      <c r="G20" s="25"/>
      <c r="H20" s="11" t="str">
        <f t="shared" ca="1" si="0"/>
        <v/>
      </c>
    </row>
    <row r="21" spans="1:8" x14ac:dyDescent="0.35">
      <c r="A21" s="25"/>
      <c r="B21" s="15"/>
      <c r="C21" s="15"/>
      <c r="D21" s="15"/>
      <c r="E21" s="18"/>
      <c r="F21" s="15"/>
      <c r="G21" s="25"/>
      <c r="H21" s="11" t="str">
        <f t="shared" ca="1" si="0"/>
        <v/>
      </c>
    </row>
    <row r="22" spans="1:8" x14ac:dyDescent="0.35">
      <c r="A22" s="25"/>
      <c r="B22" s="15"/>
      <c r="C22" s="15"/>
      <c r="D22" s="15"/>
      <c r="E22" s="18"/>
      <c r="F22" s="15"/>
      <c r="G22" s="25"/>
      <c r="H22" s="11" t="str">
        <f t="shared" ca="1" si="0"/>
        <v/>
      </c>
    </row>
    <row r="23" spans="1:8" x14ac:dyDescent="0.35">
      <c r="A23" s="25"/>
      <c r="B23" s="15"/>
      <c r="C23" s="15"/>
      <c r="D23" s="15"/>
      <c r="E23" s="18"/>
      <c r="F23" s="15"/>
      <c r="G23" s="25"/>
      <c r="H23" s="11" t="str">
        <f t="shared" ca="1" si="0"/>
        <v/>
      </c>
    </row>
    <row r="24" spans="1:8" x14ac:dyDescent="0.35">
      <c r="A24" s="25"/>
      <c r="B24" s="15"/>
      <c r="C24" s="15"/>
      <c r="D24" s="15"/>
      <c r="E24" s="18"/>
      <c r="F24" s="15"/>
      <c r="G24" s="25"/>
      <c r="H24" s="11" t="str">
        <f t="shared" ca="1" si="0"/>
        <v/>
      </c>
    </row>
    <row r="25" spans="1:8" x14ac:dyDescent="0.35">
      <c r="A25" s="25"/>
      <c r="B25" s="15"/>
      <c r="C25" s="15"/>
      <c r="D25" s="15"/>
      <c r="E25" s="18"/>
      <c r="F25" s="15"/>
      <c r="G25" s="25"/>
      <c r="H25" s="11" t="str">
        <f t="shared" ca="1" si="0"/>
        <v/>
      </c>
    </row>
    <row r="26" spans="1:8" x14ac:dyDescent="0.35">
      <c r="A26" s="25"/>
      <c r="B26" s="15"/>
      <c r="C26" s="15"/>
      <c r="D26" s="15"/>
      <c r="E26" s="18"/>
      <c r="F26" s="15"/>
      <c r="G26" s="25"/>
      <c r="H26" s="11" t="str">
        <f t="shared" ca="1" si="0"/>
        <v/>
      </c>
    </row>
    <row r="27" spans="1:8" x14ac:dyDescent="0.35">
      <c r="A27" s="25"/>
      <c r="B27" s="15"/>
      <c r="C27" s="15"/>
      <c r="D27" s="15"/>
      <c r="E27" s="18"/>
      <c r="F27" s="15"/>
      <c r="G27" s="25"/>
      <c r="H27" s="11" t="str">
        <f t="shared" ca="1" si="0"/>
        <v/>
      </c>
    </row>
    <row r="28" spans="1:8" x14ac:dyDescent="0.35">
      <c r="A28" s="25"/>
      <c r="B28" s="15"/>
      <c r="C28" s="15"/>
      <c r="D28" s="15"/>
      <c r="E28" s="18"/>
      <c r="F28" s="15"/>
      <c r="G28" s="25"/>
      <c r="H28" s="11" t="str">
        <f t="shared" ca="1" si="0"/>
        <v/>
      </c>
    </row>
    <row r="29" spans="1:8" x14ac:dyDescent="0.35">
      <c r="A29" s="25"/>
      <c r="B29" s="15"/>
      <c r="C29" s="15"/>
      <c r="D29" s="15"/>
      <c r="E29" s="18"/>
      <c r="F29" s="15"/>
      <c r="G29" s="25"/>
      <c r="H29" s="11" t="str">
        <f t="shared" ca="1" si="0"/>
        <v/>
      </c>
    </row>
    <row r="30" spans="1:8" x14ac:dyDescent="0.35">
      <c r="A30" s="25"/>
      <c r="B30" s="15"/>
      <c r="C30" s="15"/>
      <c r="D30" s="15"/>
      <c r="E30" s="18"/>
      <c r="F30" s="15"/>
      <c r="G30" s="25"/>
      <c r="H30" s="11" t="str">
        <f t="shared" ca="1" si="0"/>
        <v/>
      </c>
    </row>
    <row r="31" spans="1:8" x14ac:dyDescent="0.35">
      <c r="A31" s="25"/>
      <c r="B31" s="15"/>
      <c r="C31" s="15"/>
      <c r="D31" s="15"/>
      <c r="E31" s="18"/>
      <c r="F31" s="15"/>
      <c r="G31" s="25"/>
      <c r="H31" s="11" t="str">
        <f t="shared" ca="1" si="0"/>
        <v/>
      </c>
    </row>
    <row r="32" spans="1:8" x14ac:dyDescent="0.35">
      <c r="A32" s="25"/>
      <c r="B32" s="15"/>
      <c r="C32" s="15"/>
      <c r="D32" s="15"/>
      <c r="E32" s="18"/>
      <c r="F32" s="15"/>
      <c r="G32" s="25"/>
      <c r="H32" s="11" t="str">
        <f t="shared" ca="1" si="0"/>
        <v/>
      </c>
    </row>
    <row r="33" spans="1:8" x14ac:dyDescent="0.35">
      <c r="A33" s="25"/>
      <c r="B33" s="15"/>
      <c r="C33" s="15"/>
      <c r="D33" s="15"/>
      <c r="E33" s="18"/>
      <c r="F33" s="15"/>
      <c r="G33" s="25"/>
      <c r="H33" s="11" t="str">
        <f t="shared" ca="1" si="0"/>
        <v/>
      </c>
    </row>
    <row r="34" spans="1:8" x14ac:dyDescent="0.35">
      <c r="A34" s="25"/>
      <c r="B34" s="15"/>
      <c r="C34" s="15"/>
      <c r="D34" s="15"/>
      <c r="E34" s="18"/>
      <c r="F34" s="15"/>
      <c r="G34" s="25"/>
      <c r="H34" s="11" t="str">
        <f t="shared" ca="1" si="0"/>
        <v/>
      </c>
    </row>
    <row r="35" spans="1:8" x14ac:dyDescent="0.35">
      <c r="A35" s="25"/>
      <c r="B35" s="15"/>
      <c r="C35" s="15"/>
      <c r="D35" s="15"/>
      <c r="E35" s="18"/>
      <c r="F35" s="15"/>
      <c r="G35" s="25"/>
      <c r="H35" s="11" t="str">
        <f t="shared" ca="1" si="0"/>
        <v/>
      </c>
    </row>
    <row r="36" spans="1:8" x14ac:dyDescent="0.35">
      <c r="A36" s="25"/>
      <c r="B36" s="15"/>
      <c r="C36" s="15"/>
      <c r="D36" s="15"/>
      <c r="E36" s="18"/>
      <c r="F36" s="15"/>
      <c r="G36" s="25"/>
      <c r="H36" s="11" t="str">
        <f t="shared" ca="1" si="0"/>
        <v/>
      </c>
    </row>
    <row r="37" spans="1:8" x14ac:dyDescent="0.35">
      <c r="A37" s="25"/>
      <c r="B37" s="15"/>
      <c r="C37" s="15"/>
      <c r="D37" s="15"/>
      <c r="E37" s="18"/>
      <c r="F37" s="15"/>
      <c r="G37" s="25"/>
      <c r="H37" s="11" t="str">
        <f t="shared" ca="1" si="0"/>
        <v/>
      </c>
    </row>
    <row r="38" spans="1:8" x14ac:dyDescent="0.35">
      <c r="A38" s="25"/>
      <c r="B38" s="15"/>
      <c r="C38" s="15"/>
      <c r="D38" s="15"/>
      <c r="E38" s="18"/>
      <c r="F38" s="15"/>
      <c r="G38" s="25"/>
      <c r="H38" s="11" t="str">
        <f t="shared" ca="1" si="0"/>
        <v/>
      </c>
    </row>
    <row r="39" spans="1:8" x14ac:dyDescent="0.35">
      <c r="A39" s="25"/>
      <c r="B39" s="15"/>
      <c r="C39" s="15"/>
      <c r="D39" s="15"/>
      <c r="E39" s="18"/>
      <c r="F39" s="15"/>
      <c r="G39" s="25"/>
      <c r="H39" s="11" t="str">
        <f t="shared" ca="1" si="0"/>
        <v/>
      </c>
    </row>
    <row r="40" spans="1:8" x14ac:dyDescent="0.35">
      <c r="A40" s="25"/>
      <c r="B40" s="15"/>
      <c r="C40" s="15"/>
      <c r="D40" s="15"/>
      <c r="E40" s="18"/>
      <c r="F40" s="15"/>
      <c r="G40" s="25"/>
      <c r="H40" s="11" t="str">
        <f t="shared" ca="1" si="0"/>
        <v/>
      </c>
    </row>
    <row r="41" spans="1:8" x14ac:dyDescent="0.35">
      <c r="A41" s="25"/>
      <c r="B41" s="15"/>
      <c r="C41" s="15"/>
      <c r="D41" s="15"/>
      <c r="E41" s="18"/>
      <c r="F41" s="15"/>
      <c r="G41" s="25"/>
      <c r="H41" s="11" t="str">
        <f t="shared" ca="1" si="0"/>
        <v/>
      </c>
    </row>
    <row r="42" spans="1:8" x14ac:dyDescent="0.35">
      <c r="A42" s="25"/>
      <c r="B42" s="15"/>
      <c r="C42" s="15"/>
      <c r="D42" s="15"/>
      <c r="E42" s="18"/>
      <c r="F42" s="15"/>
      <c r="G42" s="25"/>
      <c r="H42" s="11" t="str">
        <f t="shared" ca="1" si="0"/>
        <v/>
      </c>
    </row>
    <row r="43" spans="1:8" x14ac:dyDescent="0.35">
      <c r="A43" s="25"/>
      <c r="B43" s="15"/>
      <c r="C43" s="15"/>
      <c r="D43" s="15"/>
      <c r="E43" s="18"/>
      <c r="F43" s="15"/>
      <c r="G43" s="25"/>
      <c r="H43" s="11" t="str">
        <f t="shared" ca="1" si="0"/>
        <v/>
      </c>
    </row>
    <row r="44" spans="1:8" x14ac:dyDescent="0.35">
      <c r="A44" s="25"/>
      <c r="B44" s="15"/>
      <c r="C44" s="15"/>
      <c r="D44" s="15"/>
      <c r="E44" s="18"/>
      <c r="F44" s="15"/>
      <c r="G44" s="25"/>
      <c r="H44" s="11" t="str">
        <f t="shared" ca="1" si="0"/>
        <v/>
      </c>
    </row>
    <row r="45" spans="1:8" x14ac:dyDescent="0.35">
      <c r="A45" s="25"/>
      <c r="B45" s="15"/>
      <c r="C45" s="15"/>
      <c r="D45" s="15"/>
      <c r="E45" s="18"/>
      <c r="F45" s="15"/>
      <c r="G45" s="25"/>
      <c r="H45" s="11" t="str">
        <f t="shared" ca="1" si="0"/>
        <v/>
      </c>
    </row>
    <row r="46" spans="1:8" x14ac:dyDescent="0.35">
      <c r="A46" s="25"/>
      <c r="B46" s="15"/>
      <c r="C46" s="15"/>
      <c r="D46" s="15"/>
      <c r="E46" s="18"/>
      <c r="F46" s="15"/>
      <c r="G46" s="25"/>
      <c r="H46" s="11" t="str">
        <f t="shared" ca="1" si="0"/>
        <v/>
      </c>
    </row>
    <row r="47" spans="1:8" x14ac:dyDescent="0.35">
      <c r="A47" s="25"/>
      <c r="B47" s="15"/>
      <c r="C47" s="15"/>
      <c r="D47" s="15"/>
      <c r="E47" s="18"/>
      <c r="F47" s="15"/>
      <c r="G47" s="25"/>
      <c r="H47" s="11" t="str">
        <f t="shared" ca="1" si="0"/>
        <v/>
      </c>
    </row>
    <row r="48" spans="1:8" x14ac:dyDescent="0.35">
      <c r="A48" s="25"/>
      <c r="B48" s="15"/>
      <c r="C48" s="15"/>
      <c r="D48" s="15"/>
      <c r="E48" s="18"/>
      <c r="F48" s="15"/>
      <c r="G48" s="25"/>
      <c r="H48" s="11" t="str">
        <f t="shared" ca="1" si="0"/>
        <v/>
      </c>
    </row>
    <row r="49" spans="1:8" x14ac:dyDescent="0.35">
      <c r="A49" s="25"/>
      <c r="B49" s="15"/>
      <c r="C49" s="15"/>
      <c r="D49" s="15"/>
      <c r="E49" s="18"/>
      <c r="F49" s="15"/>
      <c r="G49" s="25"/>
      <c r="H49" s="11" t="str">
        <f t="shared" ca="1" si="0"/>
        <v/>
      </c>
    </row>
    <row r="50" spans="1:8" x14ac:dyDescent="0.35">
      <c r="A50" s="25"/>
      <c r="B50" s="15"/>
      <c r="C50" s="15"/>
      <c r="D50" s="15"/>
      <c r="E50" s="18"/>
      <c r="F50" s="15"/>
      <c r="G50" s="25"/>
      <c r="H50" s="11" t="str">
        <f t="shared" ca="1" si="0"/>
        <v/>
      </c>
    </row>
    <row r="51" spans="1:8" x14ac:dyDescent="0.35">
      <c r="A51" s="25"/>
      <c r="B51" s="15"/>
      <c r="C51" s="15"/>
      <c r="D51" s="15"/>
      <c r="E51" s="18"/>
      <c r="F51" s="15"/>
      <c r="G51" s="25"/>
      <c r="H51" s="11" t="str">
        <f t="shared" ca="1" si="0"/>
        <v/>
      </c>
    </row>
    <row r="52" spans="1:8" x14ac:dyDescent="0.35">
      <c r="A52" s="25"/>
      <c r="B52" s="15"/>
      <c r="C52" s="15"/>
      <c r="D52" s="15"/>
      <c r="E52" s="18"/>
      <c r="F52" s="15"/>
      <c r="G52" s="25"/>
      <c r="H52" s="11" t="str">
        <f t="shared" ca="1" si="0"/>
        <v/>
      </c>
    </row>
    <row r="53" spans="1:8" x14ac:dyDescent="0.35">
      <c r="A53" s="25"/>
      <c r="B53" s="15"/>
      <c r="C53" s="15"/>
      <c r="D53" s="15"/>
      <c r="E53" s="18"/>
      <c r="F53" s="15"/>
      <c r="G53" s="25"/>
      <c r="H53" s="11" t="str">
        <f t="shared" ca="1" si="0"/>
        <v/>
      </c>
    </row>
    <row r="54" spans="1:8" x14ac:dyDescent="0.35">
      <c r="A54" s="25"/>
      <c r="B54" s="15"/>
      <c r="C54" s="15"/>
      <c r="D54" s="15"/>
      <c r="E54" s="18"/>
      <c r="F54" s="15"/>
      <c r="G54" s="25"/>
      <c r="H54" s="11" t="str">
        <f t="shared" ca="1" si="0"/>
        <v/>
      </c>
    </row>
    <row r="55" spans="1:8" x14ac:dyDescent="0.35">
      <c r="A55" s="25"/>
      <c r="B55" s="15"/>
      <c r="C55" s="15"/>
      <c r="D55" s="15"/>
      <c r="E55" s="18"/>
      <c r="F55" s="15"/>
      <c r="G55" s="25"/>
      <c r="H55" s="11" t="str">
        <f t="shared" ca="1" si="0"/>
        <v/>
      </c>
    </row>
    <row r="56" spans="1:8" x14ac:dyDescent="0.35">
      <c r="A56" s="25"/>
      <c r="B56" s="15"/>
      <c r="C56" s="15"/>
      <c r="D56" s="15"/>
      <c r="E56" s="18"/>
      <c r="F56" s="15"/>
      <c r="G56" s="25"/>
      <c r="H56" s="11" t="str">
        <f t="shared" ca="1" si="0"/>
        <v/>
      </c>
    </row>
    <row r="57" spans="1:8" x14ac:dyDescent="0.35">
      <c r="A57" s="25"/>
      <c r="B57" s="15"/>
      <c r="C57" s="15"/>
      <c r="D57" s="15"/>
      <c r="E57" s="18"/>
      <c r="F57" s="15"/>
      <c r="G57" s="25"/>
      <c r="H57" s="11" t="str">
        <f t="shared" ca="1" si="0"/>
        <v/>
      </c>
    </row>
    <row r="58" spans="1:8" x14ac:dyDescent="0.35">
      <c r="A58" s="25"/>
      <c r="B58" s="15"/>
      <c r="C58" s="15"/>
      <c r="D58" s="15"/>
      <c r="E58" s="18"/>
      <c r="F58" s="15"/>
      <c r="G58" s="25"/>
      <c r="H58" s="11" t="str">
        <f t="shared" ca="1" si="0"/>
        <v/>
      </c>
    </row>
    <row r="59" spans="1:8" x14ac:dyDescent="0.35">
      <c r="A59" s="25"/>
      <c r="B59" s="15"/>
      <c r="C59" s="15"/>
      <c r="D59" s="15"/>
      <c r="E59" s="18"/>
      <c r="F59" s="15"/>
      <c r="G59" s="25"/>
      <c r="H59" s="11" t="str">
        <f t="shared" ca="1" si="0"/>
        <v/>
      </c>
    </row>
    <row r="60" spans="1:8" x14ac:dyDescent="0.35">
      <c r="A60" s="25"/>
      <c r="B60" s="15"/>
      <c r="C60" s="15"/>
      <c r="D60" s="15"/>
      <c r="E60" s="18"/>
      <c r="F60" s="15"/>
      <c r="G60" s="25"/>
      <c r="H60" s="11" t="str">
        <f t="shared" ca="1" si="0"/>
        <v/>
      </c>
    </row>
    <row r="61" spans="1:8" x14ac:dyDescent="0.35">
      <c r="A61" s="25"/>
      <c r="B61" s="15"/>
      <c r="C61" s="15"/>
      <c r="D61" s="15"/>
      <c r="E61" s="18"/>
      <c r="F61" s="15"/>
      <c r="G61" s="25"/>
      <c r="H61" s="11" t="str">
        <f t="shared" ca="1" si="0"/>
        <v/>
      </c>
    </row>
    <row r="62" spans="1:8" x14ac:dyDescent="0.35">
      <c r="A62" s="25"/>
      <c r="B62" s="15"/>
      <c r="C62" s="15"/>
      <c r="D62" s="15"/>
      <c r="E62" s="18"/>
      <c r="F62" s="15"/>
      <c r="G62" s="25"/>
      <c r="H62" s="11" t="str">
        <f t="shared" ca="1" si="0"/>
        <v/>
      </c>
    </row>
    <row r="63" spans="1:8" x14ac:dyDescent="0.35">
      <c r="A63" s="25"/>
      <c r="B63" s="15"/>
      <c r="C63" s="15"/>
      <c r="D63" s="15"/>
      <c r="E63" s="18"/>
      <c r="F63" s="15"/>
      <c r="G63" s="25"/>
      <c r="H63" s="11" t="str">
        <f t="shared" ca="1" si="0"/>
        <v/>
      </c>
    </row>
    <row r="64" spans="1:8" x14ac:dyDescent="0.35">
      <c r="A64" s="25"/>
      <c r="B64" s="15"/>
      <c r="C64" s="15"/>
      <c r="D64" s="15"/>
      <c r="E64" s="18"/>
      <c r="F64" s="15"/>
      <c r="G64" s="25"/>
      <c r="H64" s="11" t="str">
        <f t="shared" ca="1" si="0"/>
        <v/>
      </c>
    </row>
    <row r="65" spans="1:8" x14ac:dyDescent="0.35">
      <c r="A65" s="25"/>
      <c r="B65" s="15"/>
      <c r="C65" s="15"/>
      <c r="D65" s="15"/>
      <c r="E65" s="18"/>
      <c r="F65" s="15"/>
      <c r="G65" s="25"/>
      <c r="H65" s="11" t="str">
        <f t="shared" ca="1" si="0"/>
        <v/>
      </c>
    </row>
    <row r="66" spans="1:8" x14ac:dyDescent="0.35">
      <c r="A66" s="25"/>
      <c r="B66" s="15"/>
      <c r="C66" s="15"/>
      <c r="D66" s="15"/>
      <c r="E66" s="18"/>
      <c r="F66" s="15"/>
      <c r="G66" s="25"/>
      <c r="H66" s="11" t="str">
        <f t="shared" ca="1" si="0"/>
        <v/>
      </c>
    </row>
    <row r="67" spans="1:8" x14ac:dyDescent="0.35">
      <c r="A67" s="25"/>
      <c r="B67" s="15"/>
      <c r="C67" s="15"/>
      <c r="D67" s="15"/>
      <c r="E67" s="18"/>
      <c r="F67" s="15"/>
      <c r="G67" s="25"/>
      <c r="H67" s="11" t="str">
        <f t="shared" ca="1" si="0"/>
        <v/>
      </c>
    </row>
    <row r="68" spans="1:8" x14ac:dyDescent="0.35">
      <c r="A68" s="25"/>
      <c r="B68" s="15"/>
      <c r="C68" s="15"/>
      <c r="D68" s="15"/>
      <c r="E68" s="18"/>
      <c r="F68" s="15"/>
      <c r="G68" s="25"/>
      <c r="H68" s="11" t="str">
        <f t="shared" ca="1" si="0"/>
        <v/>
      </c>
    </row>
    <row r="69" spans="1:8" x14ac:dyDescent="0.35">
      <c r="A69" s="25"/>
      <c r="B69" s="15"/>
      <c r="C69" s="15"/>
      <c r="D69" s="15"/>
      <c r="E69" s="18"/>
      <c r="F69" s="15"/>
      <c r="G69" s="25"/>
      <c r="H69" s="11" t="str">
        <f t="shared" ref="H69:H132" ca="1" si="1">IF(AND(F69="Owed",ISNUMBER(G69)),IF(G69&lt;TODAY(),"OVERDUE",IF(G69-TODAY()&lt;=30,"Due in "&amp;(G69-TODAY())&amp;" days","")),"")</f>
        <v/>
      </c>
    </row>
    <row r="70" spans="1:8" x14ac:dyDescent="0.35">
      <c r="A70" s="25"/>
      <c r="B70" s="15"/>
      <c r="C70" s="15"/>
      <c r="D70" s="15"/>
      <c r="E70" s="18"/>
      <c r="F70" s="15"/>
      <c r="G70" s="25"/>
      <c r="H70" s="11" t="str">
        <f t="shared" ca="1" si="1"/>
        <v/>
      </c>
    </row>
    <row r="71" spans="1:8" x14ac:dyDescent="0.35">
      <c r="A71" s="25"/>
      <c r="B71" s="15"/>
      <c r="C71" s="15"/>
      <c r="D71" s="15"/>
      <c r="E71" s="18"/>
      <c r="F71" s="15"/>
      <c r="G71" s="25"/>
      <c r="H71" s="11" t="str">
        <f t="shared" ca="1" si="1"/>
        <v/>
      </c>
    </row>
    <row r="72" spans="1:8" x14ac:dyDescent="0.35">
      <c r="A72" s="25"/>
      <c r="B72" s="15"/>
      <c r="C72" s="15"/>
      <c r="D72" s="15"/>
      <c r="E72" s="18"/>
      <c r="F72" s="15"/>
      <c r="G72" s="25"/>
      <c r="H72" s="11" t="str">
        <f t="shared" ca="1" si="1"/>
        <v/>
      </c>
    </row>
    <row r="73" spans="1:8" x14ac:dyDescent="0.35">
      <c r="A73" s="25"/>
      <c r="B73" s="15"/>
      <c r="C73" s="15"/>
      <c r="D73" s="15"/>
      <c r="E73" s="18"/>
      <c r="F73" s="15"/>
      <c r="G73" s="25"/>
      <c r="H73" s="11" t="str">
        <f t="shared" ca="1" si="1"/>
        <v/>
      </c>
    </row>
    <row r="74" spans="1:8" x14ac:dyDescent="0.35">
      <c r="A74" s="25"/>
      <c r="B74" s="15"/>
      <c r="C74" s="15"/>
      <c r="D74" s="15"/>
      <c r="E74" s="18"/>
      <c r="F74" s="15"/>
      <c r="G74" s="25"/>
      <c r="H74" s="11" t="str">
        <f t="shared" ca="1" si="1"/>
        <v/>
      </c>
    </row>
    <row r="75" spans="1:8" x14ac:dyDescent="0.35">
      <c r="A75" s="25"/>
      <c r="B75" s="15"/>
      <c r="C75" s="15"/>
      <c r="D75" s="15"/>
      <c r="E75" s="18"/>
      <c r="F75" s="15"/>
      <c r="G75" s="25"/>
      <c r="H75" s="11" t="str">
        <f t="shared" ca="1" si="1"/>
        <v/>
      </c>
    </row>
    <row r="76" spans="1:8" x14ac:dyDescent="0.35">
      <c r="A76" s="25"/>
      <c r="B76" s="15"/>
      <c r="C76" s="15"/>
      <c r="D76" s="15"/>
      <c r="E76" s="18"/>
      <c r="F76" s="15"/>
      <c r="G76" s="25"/>
      <c r="H76" s="11" t="str">
        <f t="shared" ca="1" si="1"/>
        <v/>
      </c>
    </row>
    <row r="77" spans="1:8" x14ac:dyDescent="0.35">
      <c r="A77" s="25"/>
      <c r="B77" s="15"/>
      <c r="C77" s="15"/>
      <c r="D77" s="15"/>
      <c r="E77" s="18"/>
      <c r="F77" s="15"/>
      <c r="G77" s="25"/>
      <c r="H77" s="11" t="str">
        <f t="shared" ca="1" si="1"/>
        <v/>
      </c>
    </row>
    <row r="78" spans="1:8" x14ac:dyDescent="0.35">
      <c r="A78" s="25"/>
      <c r="B78" s="15"/>
      <c r="C78" s="15"/>
      <c r="D78" s="15"/>
      <c r="E78" s="18"/>
      <c r="F78" s="15"/>
      <c r="G78" s="25"/>
      <c r="H78" s="11" t="str">
        <f t="shared" ca="1" si="1"/>
        <v/>
      </c>
    </row>
    <row r="79" spans="1:8" x14ac:dyDescent="0.35">
      <c r="A79" s="25"/>
      <c r="B79" s="15"/>
      <c r="C79" s="15"/>
      <c r="D79" s="15"/>
      <c r="E79" s="18"/>
      <c r="F79" s="15"/>
      <c r="G79" s="25"/>
      <c r="H79" s="11" t="str">
        <f t="shared" ca="1" si="1"/>
        <v/>
      </c>
    </row>
    <row r="80" spans="1:8" x14ac:dyDescent="0.35">
      <c r="A80" s="25"/>
      <c r="B80" s="15"/>
      <c r="C80" s="15"/>
      <c r="D80" s="15"/>
      <c r="E80" s="18"/>
      <c r="F80" s="15"/>
      <c r="G80" s="25"/>
      <c r="H80" s="11" t="str">
        <f t="shared" ca="1" si="1"/>
        <v/>
      </c>
    </row>
    <row r="81" spans="1:8" x14ac:dyDescent="0.35">
      <c r="A81" s="25"/>
      <c r="B81" s="15"/>
      <c r="C81" s="15"/>
      <c r="D81" s="15"/>
      <c r="E81" s="18"/>
      <c r="F81" s="15"/>
      <c r="G81" s="25"/>
      <c r="H81" s="11" t="str">
        <f t="shared" ca="1" si="1"/>
        <v/>
      </c>
    </row>
    <row r="82" spans="1:8" x14ac:dyDescent="0.35">
      <c r="A82" s="25"/>
      <c r="B82" s="15"/>
      <c r="C82" s="15"/>
      <c r="D82" s="15"/>
      <c r="E82" s="18"/>
      <c r="F82" s="15"/>
      <c r="G82" s="25"/>
      <c r="H82" s="11" t="str">
        <f t="shared" ca="1" si="1"/>
        <v/>
      </c>
    </row>
    <row r="83" spans="1:8" x14ac:dyDescent="0.35">
      <c r="A83" s="25"/>
      <c r="B83" s="15"/>
      <c r="C83" s="15"/>
      <c r="D83" s="15"/>
      <c r="E83" s="18"/>
      <c r="F83" s="15"/>
      <c r="G83" s="25"/>
      <c r="H83" s="11" t="str">
        <f t="shared" ca="1" si="1"/>
        <v/>
      </c>
    </row>
    <row r="84" spans="1:8" x14ac:dyDescent="0.35">
      <c r="A84" s="25"/>
      <c r="B84" s="15"/>
      <c r="C84" s="15"/>
      <c r="D84" s="15"/>
      <c r="E84" s="18"/>
      <c r="F84" s="15"/>
      <c r="G84" s="25"/>
      <c r="H84" s="11" t="str">
        <f t="shared" ca="1" si="1"/>
        <v/>
      </c>
    </row>
    <row r="85" spans="1:8" x14ac:dyDescent="0.35">
      <c r="A85" s="25"/>
      <c r="B85" s="15"/>
      <c r="C85" s="15"/>
      <c r="D85" s="15"/>
      <c r="E85" s="18"/>
      <c r="F85" s="15"/>
      <c r="G85" s="25"/>
      <c r="H85" s="11" t="str">
        <f t="shared" ca="1" si="1"/>
        <v/>
      </c>
    </row>
    <row r="86" spans="1:8" x14ac:dyDescent="0.35">
      <c r="A86" s="25"/>
      <c r="B86" s="15"/>
      <c r="C86" s="15"/>
      <c r="D86" s="15"/>
      <c r="E86" s="18"/>
      <c r="F86" s="15"/>
      <c r="G86" s="25"/>
      <c r="H86" s="11" t="str">
        <f t="shared" ca="1" si="1"/>
        <v/>
      </c>
    </row>
    <row r="87" spans="1:8" x14ac:dyDescent="0.35">
      <c r="A87" s="25"/>
      <c r="B87" s="15"/>
      <c r="C87" s="15"/>
      <c r="D87" s="15"/>
      <c r="E87" s="18"/>
      <c r="F87" s="15"/>
      <c r="G87" s="25"/>
      <c r="H87" s="11" t="str">
        <f t="shared" ca="1" si="1"/>
        <v/>
      </c>
    </row>
    <row r="88" spans="1:8" x14ac:dyDescent="0.35">
      <c r="A88" s="25"/>
      <c r="B88" s="15"/>
      <c r="C88" s="15"/>
      <c r="D88" s="15"/>
      <c r="E88" s="18"/>
      <c r="F88" s="15"/>
      <c r="G88" s="25"/>
      <c r="H88" s="11" t="str">
        <f t="shared" ca="1" si="1"/>
        <v/>
      </c>
    </row>
    <row r="89" spans="1:8" x14ac:dyDescent="0.35">
      <c r="A89" s="25"/>
      <c r="B89" s="15"/>
      <c r="C89" s="15"/>
      <c r="D89" s="15"/>
      <c r="E89" s="18"/>
      <c r="F89" s="15"/>
      <c r="G89" s="25"/>
      <c r="H89" s="11" t="str">
        <f t="shared" ca="1" si="1"/>
        <v/>
      </c>
    </row>
    <row r="90" spans="1:8" x14ac:dyDescent="0.35">
      <c r="A90" s="25"/>
      <c r="B90" s="15"/>
      <c r="C90" s="15"/>
      <c r="D90" s="15"/>
      <c r="E90" s="18"/>
      <c r="F90" s="15"/>
      <c r="G90" s="25"/>
      <c r="H90" s="11" t="str">
        <f t="shared" ca="1" si="1"/>
        <v/>
      </c>
    </row>
    <row r="91" spans="1:8" x14ac:dyDescent="0.35">
      <c r="A91" s="25"/>
      <c r="B91" s="15"/>
      <c r="C91" s="15"/>
      <c r="D91" s="15"/>
      <c r="E91" s="18"/>
      <c r="F91" s="15"/>
      <c r="G91" s="25"/>
      <c r="H91" s="11" t="str">
        <f t="shared" ca="1" si="1"/>
        <v/>
      </c>
    </row>
    <row r="92" spans="1:8" x14ac:dyDescent="0.35">
      <c r="A92" s="25"/>
      <c r="B92" s="15"/>
      <c r="C92" s="15"/>
      <c r="D92" s="15"/>
      <c r="E92" s="18"/>
      <c r="F92" s="15"/>
      <c r="G92" s="25"/>
      <c r="H92" s="11" t="str">
        <f t="shared" ca="1" si="1"/>
        <v/>
      </c>
    </row>
    <row r="93" spans="1:8" x14ac:dyDescent="0.35">
      <c r="A93" s="25"/>
      <c r="B93" s="15"/>
      <c r="C93" s="15"/>
      <c r="D93" s="15"/>
      <c r="E93" s="18"/>
      <c r="F93" s="15"/>
      <c r="G93" s="25"/>
      <c r="H93" s="11" t="str">
        <f t="shared" ca="1" si="1"/>
        <v/>
      </c>
    </row>
    <row r="94" spans="1:8" x14ac:dyDescent="0.35">
      <c r="A94" s="25"/>
      <c r="B94" s="15"/>
      <c r="C94" s="15"/>
      <c r="D94" s="15"/>
      <c r="E94" s="18"/>
      <c r="F94" s="15"/>
      <c r="G94" s="25"/>
      <c r="H94" s="11" t="str">
        <f t="shared" ca="1" si="1"/>
        <v/>
      </c>
    </row>
    <row r="95" spans="1:8" x14ac:dyDescent="0.35">
      <c r="A95" s="25"/>
      <c r="B95" s="15"/>
      <c r="C95" s="15"/>
      <c r="D95" s="15"/>
      <c r="E95" s="18"/>
      <c r="F95" s="15"/>
      <c r="G95" s="25"/>
      <c r="H95" s="11" t="str">
        <f t="shared" ca="1" si="1"/>
        <v/>
      </c>
    </row>
    <row r="96" spans="1:8" x14ac:dyDescent="0.35">
      <c r="A96" s="25"/>
      <c r="B96" s="15"/>
      <c r="C96" s="15"/>
      <c r="D96" s="15"/>
      <c r="E96" s="18"/>
      <c r="F96" s="15"/>
      <c r="G96" s="25"/>
      <c r="H96" s="11" t="str">
        <f t="shared" ca="1" si="1"/>
        <v/>
      </c>
    </row>
    <row r="97" spans="1:8" x14ac:dyDescent="0.35">
      <c r="A97" s="25"/>
      <c r="B97" s="15"/>
      <c r="C97" s="15"/>
      <c r="D97" s="15"/>
      <c r="E97" s="18"/>
      <c r="F97" s="15"/>
      <c r="G97" s="25"/>
      <c r="H97" s="11" t="str">
        <f t="shared" ca="1" si="1"/>
        <v/>
      </c>
    </row>
    <row r="98" spans="1:8" x14ac:dyDescent="0.35">
      <c r="A98" s="25"/>
      <c r="B98" s="15"/>
      <c r="C98" s="15"/>
      <c r="D98" s="15"/>
      <c r="E98" s="18"/>
      <c r="F98" s="15"/>
      <c r="G98" s="25"/>
      <c r="H98" s="11" t="str">
        <f t="shared" ca="1" si="1"/>
        <v/>
      </c>
    </row>
    <row r="99" spans="1:8" x14ac:dyDescent="0.35">
      <c r="A99" s="25"/>
      <c r="B99" s="15"/>
      <c r="C99" s="15"/>
      <c r="D99" s="15"/>
      <c r="E99" s="18"/>
      <c r="F99" s="15"/>
      <c r="G99" s="25"/>
      <c r="H99" s="11" t="str">
        <f t="shared" ca="1" si="1"/>
        <v/>
      </c>
    </row>
    <row r="100" spans="1:8" x14ac:dyDescent="0.35">
      <c r="A100" s="25"/>
      <c r="B100" s="15"/>
      <c r="C100" s="15"/>
      <c r="D100" s="15"/>
      <c r="E100" s="18"/>
      <c r="F100" s="15"/>
      <c r="G100" s="25"/>
      <c r="H100" s="11" t="str">
        <f t="shared" ca="1" si="1"/>
        <v/>
      </c>
    </row>
    <row r="101" spans="1:8" x14ac:dyDescent="0.35">
      <c r="A101" s="25"/>
      <c r="B101" s="15"/>
      <c r="C101" s="15"/>
      <c r="D101" s="15"/>
      <c r="E101" s="18"/>
      <c r="F101" s="15"/>
      <c r="G101" s="25"/>
      <c r="H101" s="11" t="str">
        <f t="shared" ca="1" si="1"/>
        <v/>
      </c>
    </row>
    <row r="102" spans="1:8" x14ac:dyDescent="0.35">
      <c r="A102" s="25"/>
      <c r="B102" s="15"/>
      <c r="C102" s="15"/>
      <c r="D102" s="15"/>
      <c r="E102" s="18"/>
      <c r="F102" s="15"/>
      <c r="G102" s="25"/>
      <c r="H102" s="11" t="str">
        <f t="shared" ca="1" si="1"/>
        <v/>
      </c>
    </row>
    <row r="103" spans="1:8" x14ac:dyDescent="0.35">
      <c r="A103" s="25"/>
      <c r="B103" s="15"/>
      <c r="C103" s="15"/>
      <c r="D103" s="15"/>
      <c r="E103" s="18"/>
      <c r="F103" s="15"/>
      <c r="G103" s="25"/>
      <c r="H103" s="11" t="str">
        <f t="shared" ca="1" si="1"/>
        <v/>
      </c>
    </row>
    <row r="104" spans="1:8" x14ac:dyDescent="0.35">
      <c r="A104" s="25"/>
      <c r="B104" s="15"/>
      <c r="C104" s="15"/>
      <c r="D104" s="15"/>
      <c r="E104" s="18"/>
      <c r="F104" s="15"/>
      <c r="G104" s="25"/>
      <c r="H104" s="11" t="str">
        <f t="shared" ca="1" si="1"/>
        <v/>
      </c>
    </row>
    <row r="105" spans="1:8" x14ac:dyDescent="0.35">
      <c r="A105" s="25"/>
      <c r="B105" s="15"/>
      <c r="C105" s="15"/>
      <c r="D105" s="15"/>
      <c r="E105" s="18"/>
      <c r="F105" s="15"/>
      <c r="G105" s="25"/>
      <c r="H105" s="11" t="str">
        <f t="shared" ca="1" si="1"/>
        <v/>
      </c>
    </row>
    <row r="106" spans="1:8" x14ac:dyDescent="0.35">
      <c r="A106" s="25"/>
      <c r="B106" s="15"/>
      <c r="C106" s="15"/>
      <c r="D106" s="15"/>
      <c r="E106" s="18"/>
      <c r="F106" s="15"/>
      <c r="G106" s="25"/>
      <c r="H106" s="11" t="str">
        <f t="shared" ca="1" si="1"/>
        <v/>
      </c>
    </row>
    <row r="107" spans="1:8" x14ac:dyDescent="0.35">
      <c r="A107" s="25"/>
      <c r="B107" s="15"/>
      <c r="C107" s="15"/>
      <c r="D107" s="15"/>
      <c r="E107" s="18"/>
      <c r="F107" s="15"/>
      <c r="G107" s="25"/>
      <c r="H107" s="11" t="str">
        <f t="shared" ca="1" si="1"/>
        <v/>
      </c>
    </row>
    <row r="108" spans="1:8" x14ac:dyDescent="0.35">
      <c r="A108" s="25"/>
      <c r="B108" s="15"/>
      <c r="C108" s="15"/>
      <c r="D108" s="15"/>
      <c r="E108" s="18"/>
      <c r="F108" s="15"/>
      <c r="G108" s="25"/>
      <c r="H108" s="11" t="str">
        <f t="shared" ca="1" si="1"/>
        <v/>
      </c>
    </row>
    <row r="109" spans="1:8" x14ac:dyDescent="0.35">
      <c r="A109" s="25"/>
      <c r="B109" s="15"/>
      <c r="C109" s="15"/>
      <c r="D109" s="15"/>
      <c r="E109" s="18"/>
      <c r="F109" s="15"/>
      <c r="G109" s="25"/>
      <c r="H109" s="11" t="str">
        <f t="shared" ca="1" si="1"/>
        <v/>
      </c>
    </row>
    <row r="110" spans="1:8" x14ac:dyDescent="0.35">
      <c r="A110" s="25"/>
      <c r="B110" s="15"/>
      <c r="C110" s="15"/>
      <c r="D110" s="15"/>
      <c r="E110" s="18"/>
      <c r="F110" s="15"/>
      <c r="G110" s="25"/>
      <c r="H110" s="11" t="str">
        <f t="shared" ca="1" si="1"/>
        <v/>
      </c>
    </row>
    <row r="111" spans="1:8" x14ac:dyDescent="0.35">
      <c r="A111" s="25"/>
      <c r="B111" s="15"/>
      <c r="C111" s="15"/>
      <c r="D111" s="15"/>
      <c r="E111" s="18"/>
      <c r="F111" s="15"/>
      <c r="G111" s="25"/>
      <c r="H111" s="11" t="str">
        <f t="shared" ca="1" si="1"/>
        <v/>
      </c>
    </row>
    <row r="112" spans="1:8" x14ac:dyDescent="0.35">
      <c r="A112" s="25"/>
      <c r="B112" s="15"/>
      <c r="C112" s="15"/>
      <c r="D112" s="15"/>
      <c r="E112" s="18"/>
      <c r="F112" s="15"/>
      <c r="G112" s="25"/>
      <c r="H112" s="11" t="str">
        <f t="shared" ca="1" si="1"/>
        <v/>
      </c>
    </row>
    <row r="113" spans="1:8" x14ac:dyDescent="0.35">
      <c r="A113" s="25"/>
      <c r="B113" s="15"/>
      <c r="C113" s="15"/>
      <c r="D113" s="15"/>
      <c r="E113" s="18"/>
      <c r="F113" s="15"/>
      <c r="G113" s="25"/>
      <c r="H113" s="11" t="str">
        <f t="shared" ca="1" si="1"/>
        <v/>
      </c>
    </row>
    <row r="114" spans="1:8" x14ac:dyDescent="0.35">
      <c r="A114" s="25"/>
      <c r="B114" s="15"/>
      <c r="C114" s="15"/>
      <c r="D114" s="15"/>
      <c r="E114" s="18"/>
      <c r="F114" s="15"/>
      <c r="G114" s="25"/>
      <c r="H114" s="11" t="str">
        <f t="shared" ca="1" si="1"/>
        <v/>
      </c>
    </row>
    <row r="115" spans="1:8" x14ac:dyDescent="0.35">
      <c r="A115" s="25"/>
      <c r="B115" s="15"/>
      <c r="C115" s="15"/>
      <c r="D115" s="15"/>
      <c r="E115" s="18"/>
      <c r="F115" s="15"/>
      <c r="G115" s="25"/>
      <c r="H115" s="11" t="str">
        <f t="shared" ca="1" si="1"/>
        <v/>
      </c>
    </row>
    <row r="116" spans="1:8" x14ac:dyDescent="0.35">
      <c r="A116" s="25"/>
      <c r="B116" s="15"/>
      <c r="C116" s="15"/>
      <c r="D116" s="15"/>
      <c r="E116" s="18"/>
      <c r="F116" s="15"/>
      <c r="G116" s="25"/>
      <c r="H116" s="11" t="str">
        <f t="shared" ca="1" si="1"/>
        <v/>
      </c>
    </row>
    <row r="117" spans="1:8" x14ac:dyDescent="0.35">
      <c r="A117" s="25"/>
      <c r="B117" s="15"/>
      <c r="C117" s="15"/>
      <c r="D117" s="15"/>
      <c r="E117" s="18"/>
      <c r="F117" s="15"/>
      <c r="G117" s="25"/>
      <c r="H117" s="11" t="str">
        <f t="shared" ca="1" si="1"/>
        <v/>
      </c>
    </row>
    <row r="118" spans="1:8" x14ac:dyDescent="0.35">
      <c r="A118" s="25"/>
      <c r="B118" s="15"/>
      <c r="C118" s="15"/>
      <c r="D118" s="15"/>
      <c r="E118" s="18"/>
      <c r="F118" s="15"/>
      <c r="G118" s="25"/>
      <c r="H118" s="11" t="str">
        <f t="shared" ca="1" si="1"/>
        <v/>
      </c>
    </row>
    <row r="119" spans="1:8" x14ac:dyDescent="0.35">
      <c r="A119" s="25"/>
      <c r="B119" s="15"/>
      <c r="C119" s="15"/>
      <c r="D119" s="15"/>
      <c r="E119" s="18"/>
      <c r="F119" s="15"/>
      <c r="G119" s="25"/>
      <c r="H119" s="11" t="str">
        <f t="shared" ca="1" si="1"/>
        <v/>
      </c>
    </row>
    <row r="120" spans="1:8" x14ac:dyDescent="0.35">
      <c r="A120" s="25"/>
      <c r="B120" s="15"/>
      <c r="C120" s="15"/>
      <c r="D120" s="15"/>
      <c r="E120" s="18"/>
      <c r="F120" s="15"/>
      <c r="G120" s="25"/>
      <c r="H120" s="11" t="str">
        <f t="shared" ca="1" si="1"/>
        <v/>
      </c>
    </row>
    <row r="121" spans="1:8" x14ac:dyDescent="0.35">
      <c r="A121" s="25"/>
      <c r="B121" s="15"/>
      <c r="C121" s="15"/>
      <c r="D121" s="15"/>
      <c r="E121" s="18"/>
      <c r="F121" s="15"/>
      <c r="G121" s="25"/>
      <c r="H121" s="11" t="str">
        <f t="shared" ca="1" si="1"/>
        <v/>
      </c>
    </row>
    <row r="122" spans="1:8" x14ac:dyDescent="0.35">
      <c r="A122" s="25"/>
      <c r="B122" s="15"/>
      <c r="C122" s="15"/>
      <c r="D122" s="15"/>
      <c r="E122" s="18"/>
      <c r="F122" s="15"/>
      <c r="G122" s="25"/>
      <c r="H122" s="11" t="str">
        <f t="shared" ca="1" si="1"/>
        <v/>
      </c>
    </row>
    <row r="123" spans="1:8" x14ac:dyDescent="0.35">
      <c r="A123" s="25"/>
      <c r="B123" s="15"/>
      <c r="C123" s="15"/>
      <c r="D123" s="15"/>
      <c r="E123" s="18"/>
      <c r="F123" s="15"/>
      <c r="G123" s="25"/>
      <c r="H123" s="11" t="str">
        <f t="shared" ca="1" si="1"/>
        <v/>
      </c>
    </row>
    <row r="124" spans="1:8" x14ac:dyDescent="0.35">
      <c r="A124" s="25"/>
      <c r="B124" s="15"/>
      <c r="C124" s="15"/>
      <c r="D124" s="15"/>
      <c r="E124" s="18"/>
      <c r="F124" s="15"/>
      <c r="G124" s="25"/>
      <c r="H124" s="11" t="str">
        <f t="shared" ca="1" si="1"/>
        <v/>
      </c>
    </row>
    <row r="125" spans="1:8" x14ac:dyDescent="0.35">
      <c r="A125" s="25"/>
      <c r="B125" s="15"/>
      <c r="C125" s="15"/>
      <c r="D125" s="15"/>
      <c r="E125" s="18"/>
      <c r="F125" s="15"/>
      <c r="G125" s="25"/>
      <c r="H125" s="11" t="str">
        <f t="shared" ca="1" si="1"/>
        <v/>
      </c>
    </row>
    <row r="126" spans="1:8" x14ac:dyDescent="0.35">
      <c r="A126" s="25"/>
      <c r="B126" s="15"/>
      <c r="C126" s="15"/>
      <c r="D126" s="15"/>
      <c r="E126" s="18"/>
      <c r="F126" s="15"/>
      <c r="G126" s="25"/>
      <c r="H126" s="11" t="str">
        <f t="shared" ca="1" si="1"/>
        <v/>
      </c>
    </row>
    <row r="127" spans="1:8" x14ac:dyDescent="0.35">
      <c r="A127" s="25"/>
      <c r="B127" s="15"/>
      <c r="C127" s="15"/>
      <c r="D127" s="15"/>
      <c r="E127" s="18"/>
      <c r="F127" s="15"/>
      <c r="G127" s="25"/>
      <c r="H127" s="11" t="str">
        <f t="shared" ca="1" si="1"/>
        <v/>
      </c>
    </row>
    <row r="128" spans="1:8" x14ac:dyDescent="0.35">
      <c r="A128" s="25"/>
      <c r="B128" s="15"/>
      <c r="C128" s="15"/>
      <c r="D128" s="15"/>
      <c r="E128" s="18"/>
      <c r="F128" s="15"/>
      <c r="G128" s="25"/>
      <c r="H128" s="11" t="str">
        <f t="shared" ca="1" si="1"/>
        <v/>
      </c>
    </row>
    <row r="129" spans="1:8" x14ac:dyDescent="0.35">
      <c r="A129" s="25"/>
      <c r="B129" s="15"/>
      <c r="C129" s="15"/>
      <c r="D129" s="15"/>
      <c r="E129" s="18"/>
      <c r="F129" s="15"/>
      <c r="G129" s="25"/>
      <c r="H129" s="11" t="str">
        <f t="shared" ca="1" si="1"/>
        <v/>
      </c>
    </row>
    <row r="130" spans="1:8" x14ac:dyDescent="0.35">
      <c r="A130" s="25"/>
      <c r="B130" s="15"/>
      <c r="C130" s="15"/>
      <c r="D130" s="15"/>
      <c r="E130" s="18"/>
      <c r="F130" s="15"/>
      <c r="G130" s="25"/>
      <c r="H130" s="11" t="str">
        <f t="shared" ca="1" si="1"/>
        <v/>
      </c>
    </row>
    <row r="131" spans="1:8" x14ac:dyDescent="0.35">
      <c r="A131" s="25"/>
      <c r="B131" s="15"/>
      <c r="C131" s="15"/>
      <c r="D131" s="15"/>
      <c r="E131" s="18"/>
      <c r="F131" s="15"/>
      <c r="G131" s="25"/>
      <c r="H131" s="11" t="str">
        <f t="shared" ca="1" si="1"/>
        <v/>
      </c>
    </row>
    <row r="132" spans="1:8" x14ac:dyDescent="0.35">
      <c r="A132" s="25"/>
      <c r="B132" s="15"/>
      <c r="C132" s="15"/>
      <c r="D132" s="15"/>
      <c r="E132" s="18"/>
      <c r="F132" s="15"/>
      <c r="G132" s="25"/>
      <c r="H132" s="11" t="str">
        <f t="shared" ca="1" si="1"/>
        <v/>
      </c>
    </row>
    <row r="133" spans="1:8" x14ac:dyDescent="0.35">
      <c r="A133" s="25"/>
      <c r="B133" s="15"/>
      <c r="C133" s="15"/>
      <c r="D133" s="15"/>
      <c r="E133" s="18"/>
      <c r="F133" s="15"/>
      <c r="G133" s="25"/>
      <c r="H133" s="11" t="str">
        <f t="shared" ref="H133:H196" ca="1" si="2">IF(AND(F133="Owed",ISNUMBER(G133)),IF(G133&lt;TODAY(),"OVERDUE",IF(G133-TODAY()&lt;=30,"Due in "&amp;(G133-TODAY())&amp;" days","")),"")</f>
        <v/>
      </c>
    </row>
    <row r="134" spans="1:8" x14ac:dyDescent="0.35">
      <c r="A134" s="25"/>
      <c r="B134" s="15"/>
      <c r="C134" s="15"/>
      <c r="D134" s="15"/>
      <c r="E134" s="18"/>
      <c r="F134" s="15"/>
      <c r="G134" s="25"/>
      <c r="H134" s="11" t="str">
        <f t="shared" ca="1" si="2"/>
        <v/>
      </c>
    </row>
    <row r="135" spans="1:8" x14ac:dyDescent="0.35">
      <c r="A135" s="25"/>
      <c r="B135" s="15"/>
      <c r="C135" s="15"/>
      <c r="D135" s="15"/>
      <c r="E135" s="18"/>
      <c r="F135" s="15"/>
      <c r="G135" s="25"/>
      <c r="H135" s="11" t="str">
        <f t="shared" ca="1" si="2"/>
        <v/>
      </c>
    </row>
    <row r="136" spans="1:8" x14ac:dyDescent="0.35">
      <c r="A136" s="25"/>
      <c r="B136" s="15"/>
      <c r="C136" s="15"/>
      <c r="D136" s="15"/>
      <c r="E136" s="18"/>
      <c r="F136" s="15"/>
      <c r="G136" s="25"/>
      <c r="H136" s="11" t="str">
        <f t="shared" ca="1" si="2"/>
        <v/>
      </c>
    </row>
    <row r="137" spans="1:8" x14ac:dyDescent="0.35">
      <c r="A137" s="25"/>
      <c r="B137" s="15"/>
      <c r="C137" s="15"/>
      <c r="D137" s="15"/>
      <c r="E137" s="18"/>
      <c r="F137" s="15"/>
      <c r="G137" s="25"/>
      <c r="H137" s="11" t="str">
        <f t="shared" ca="1" si="2"/>
        <v/>
      </c>
    </row>
    <row r="138" spans="1:8" x14ac:dyDescent="0.35">
      <c r="A138" s="25"/>
      <c r="B138" s="15"/>
      <c r="C138" s="15"/>
      <c r="D138" s="15"/>
      <c r="E138" s="18"/>
      <c r="F138" s="15"/>
      <c r="G138" s="25"/>
      <c r="H138" s="11" t="str">
        <f t="shared" ca="1" si="2"/>
        <v/>
      </c>
    </row>
    <row r="139" spans="1:8" x14ac:dyDescent="0.35">
      <c r="A139" s="25"/>
      <c r="B139" s="15"/>
      <c r="C139" s="15"/>
      <c r="D139" s="15"/>
      <c r="E139" s="18"/>
      <c r="F139" s="15"/>
      <c r="G139" s="25"/>
      <c r="H139" s="11" t="str">
        <f t="shared" ca="1" si="2"/>
        <v/>
      </c>
    </row>
    <row r="140" spans="1:8" x14ac:dyDescent="0.35">
      <c r="A140" s="25"/>
      <c r="B140" s="15"/>
      <c r="C140" s="15"/>
      <c r="D140" s="15"/>
      <c r="E140" s="18"/>
      <c r="F140" s="15"/>
      <c r="G140" s="25"/>
      <c r="H140" s="11" t="str">
        <f t="shared" ca="1" si="2"/>
        <v/>
      </c>
    </row>
    <row r="141" spans="1:8" x14ac:dyDescent="0.35">
      <c r="A141" s="25"/>
      <c r="B141" s="15"/>
      <c r="C141" s="15"/>
      <c r="D141" s="15"/>
      <c r="E141" s="18"/>
      <c r="F141" s="15"/>
      <c r="G141" s="25"/>
      <c r="H141" s="11" t="str">
        <f t="shared" ca="1" si="2"/>
        <v/>
      </c>
    </row>
    <row r="142" spans="1:8" x14ac:dyDescent="0.35">
      <c r="A142" s="25"/>
      <c r="B142" s="15"/>
      <c r="C142" s="15"/>
      <c r="D142" s="15"/>
      <c r="E142" s="18"/>
      <c r="F142" s="15"/>
      <c r="G142" s="25"/>
      <c r="H142" s="11" t="str">
        <f t="shared" ca="1" si="2"/>
        <v/>
      </c>
    </row>
    <row r="143" spans="1:8" x14ac:dyDescent="0.35">
      <c r="A143" s="25"/>
      <c r="B143" s="15"/>
      <c r="C143" s="15"/>
      <c r="D143" s="15"/>
      <c r="E143" s="18"/>
      <c r="F143" s="15"/>
      <c r="G143" s="25"/>
      <c r="H143" s="11" t="str">
        <f t="shared" ca="1" si="2"/>
        <v/>
      </c>
    </row>
    <row r="144" spans="1:8" x14ac:dyDescent="0.35">
      <c r="A144" s="25"/>
      <c r="B144" s="15"/>
      <c r="C144" s="15"/>
      <c r="D144" s="15"/>
      <c r="E144" s="18"/>
      <c r="F144" s="15"/>
      <c r="G144" s="25"/>
      <c r="H144" s="11" t="str">
        <f t="shared" ca="1" si="2"/>
        <v/>
      </c>
    </row>
    <row r="145" spans="1:8" x14ac:dyDescent="0.35">
      <c r="A145" s="25"/>
      <c r="B145" s="15"/>
      <c r="C145" s="15"/>
      <c r="D145" s="15"/>
      <c r="E145" s="18"/>
      <c r="F145" s="15"/>
      <c r="G145" s="25"/>
      <c r="H145" s="11" t="str">
        <f t="shared" ca="1" si="2"/>
        <v/>
      </c>
    </row>
    <row r="146" spans="1:8" x14ac:dyDescent="0.35">
      <c r="A146" s="25"/>
      <c r="B146" s="15"/>
      <c r="C146" s="15"/>
      <c r="D146" s="15"/>
      <c r="E146" s="18"/>
      <c r="F146" s="15"/>
      <c r="G146" s="25"/>
      <c r="H146" s="11" t="str">
        <f t="shared" ca="1" si="2"/>
        <v/>
      </c>
    </row>
    <row r="147" spans="1:8" x14ac:dyDescent="0.35">
      <c r="A147" s="25"/>
      <c r="B147" s="15"/>
      <c r="C147" s="15"/>
      <c r="D147" s="15"/>
      <c r="E147" s="18"/>
      <c r="F147" s="15"/>
      <c r="G147" s="25"/>
      <c r="H147" s="11" t="str">
        <f t="shared" ca="1" si="2"/>
        <v/>
      </c>
    </row>
    <row r="148" spans="1:8" x14ac:dyDescent="0.35">
      <c r="A148" s="25"/>
      <c r="B148" s="15"/>
      <c r="C148" s="15"/>
      <c r="D148" s="15"/>
      <c r="E148" s="18"/>
      <c r="F148" s="15"/>
      <c r="G148" s="25"/>
      <c r="H148" s="11" t="str">
        <f t="shared" ca="1" si="2"/>
        <v/>
      </c>
    </row>
    <row r="149" spans="1:8" x14ac:dyDescent="0.35">
      <c r="A149" s="25"/>
      <c r="B149" s="15"/>
      <c r="C149" s="15"/>
      <c r="D149" s="15"/>
      <c r="E149" s="18"/>
      <c r="F149" s="15"/>
      <c r="G149" s="25"/>
      <c r="H149" s="11" t="str">
        <f t="shared" ca="1" si="2"/>
        <v/>
      </c>
    </row>
    <row r="150" spans="1:8" x14ac:dyDescent="0.35">
      <c r="A150" s="25"/>
      <c r="B150" s="15"/>
      <c r="C150" s="15"/>
      <c r="D150" s="15"/>
      <c r="E150" s="18"/>
      <c r="F150" s="15"/>
      <c r="G150" s="25"/>
      <c r="H150" s="11" t="str">
        <f t="shared" ca="1" si="2"/>
        <v/>
      </c>
    </row>
    <row r="151" spans="1:8" x14ac:dyDescent="0.35">
      <c r="A151" s="25"/>
      <c r="B151" s="15"/>
      <c r="C151" s="15"/>
      <c r="D151" s="15"/>
      <c r="E151" s="18"/>
      <c r="F151" s="15"/>
      <c r="G151" s="25"/>
      <c r="H151" s="11" t="str">
        <f t="shared" ca="1" si="2"/>
        <v/>
      </c>
    </row>
    <row r="152" spans="1:8" x14ac:dyDescent="0.35">
      <c r="A152" s="25"/>
      <c r="B152" s="15"/>
      <c r="C152" s="15"/>
      <c r="D152" s="15"/>
      <c r="E152" s="18"/>
      <c r="F152" s="15"/>
      <c r="G152" s="25"/>
      <c r="H152" s="11" t="str">
        <f t="shared" ca="1" si="2"/>
        <v/>
      </c>
    </row>
    <row r="153" spans="1:8" x14ac:dyDescent="0.35">
      <c r="A153" s="25"/>
      <c r="B153" s="15"/>
      <c r="C153" s="15"/>
      <c r="D153" s="15"/>
      <c r="E153" s="18"/>
      <c r="F153" s="15"/>
      <c r="G153" s="25"/>
      <c r="H153" s="11" t="str">
        <f t="shared" ca="1" si="2"/>
        <v/>
      </c>
    </row>
    <row r="154" spans="1:8" x14ac:dyDescent="0.35">
      <c r="A154" s="25"/>
      <c r="B154" s="15"/>
      <c r="C154" s="15"/>
      <c r="D154" s="15"/>
      <c r="E154" s="18"/>
      <c r="F154" s="15"/>
      <c r="G154" s="25"/>
      <c r="H154" s="11" t="str">
        <f t="shared" ca="1" si="2"/>
        <v/>
      </c>
    </row>
    <row r="155" spans="1:8" x14ac:dyDescent="0.35">
      <c r="A155" s="25"/>
      <c r="B155" s="15"/>
      <c r="C155" s="15"/>
      <c r="D155" s="15"/>
      <c r="E155" s="18"/>
      <c r="F155" s="15"/>
      <c r="G155" s="25"/>
      <c r="H155" s="11" t="str">
        <f t="shared" ca="1" si="2"/>
        <v/>
      </c>
    </row>
    <row r="156" spans="1:8" x14ac:dyDescent="0.35">
      <c r="A156" s="25"/>
      <c r="B156" s="15"/>
      <c r="C156" s="15"/>
      <c r="D156" s="15"/>
      <c r="E156" s="18"/>
      <c r="F156" s="15"/>
      <c r="G156" s="25"/>
      <c r="H156" s="11" t="str">
        <f t="shared" ca="1" si="2"/>
        <v/>
      </c>
    </row>
    <row r="157" spans="1:8" x14ac:dyDescent="0.35">
      <c r="A157" s="25"/>
      <c r="B157" s="15"/>
      <c r="C157" s="15"/>
      <c r="D157" s="15"/>
      <c r="E157" s="18"/>
      <c r="F157" s="15"/>
      <c r="G157" s="25"/>
      <c r="H157" s="11" t="str">
        <f t="shared" ca="1" si="2"/>
        <v/>
      </c>
    </row>
    <row r="158" spans="1:8" x14ac:dyDescent="0.35">
      <c r="A158" s="25"/>
      <c r="B158" s="15"/>
      <c r="C158" s="15"/>
      <c r="D158" s="15"/>
      <c r="E158" s="18"/>
      <c r="F158" s="15"/>
      <c r="G158" s="25"/>
      <c r="H158" s="11" t="str">
        <f t="shared" ca="1" si="2"/>
        <v/>
      </c>
    </row>
    <row r="159" spans="1:8" x14ac:dyDescent="0.35">
      <c r="A159" s="25"/>
      <c r="B159" s="15"/>
      <c r="C159" s="15"/>
      <c r="D159" s="15"/>
      <c r="E159" s="18"/>
      <c r="F159" s="15"/>
      <c r="G159" s="25"/>
      <c r="H159" s="11" t="str">
        <f t="shared" ca="1" si="2"/>
        <v/>
      </c>
    </row>
    <row r="160" spans="1:8" x14ac:dyDescent="0.35">
      <c r="A160" s="25"/>
      <c r="B160" s="15"/>
      <c r="C160" s="15"/>
      <c r="D160" s="15"/>
      <c r="E160" s="18"/>
      <c r="F160" s="15"/>
      <c r="G160" s="25"/>
      <c r="H160" s="11" t="str">
        <f t="shared" ca="1" si="2"/>
        <v/>
      </c>
    </row>
    <row r="161" spans="1:8" x14ac:dyDescent="0.35">
      <c r="A161" s="25"/>
      <c r="B161" s="15"/>
      <c r="C161" s="15"/>
      <c r="D161" s="15"/>
      <c r="E161" s="18"/>
      <c r="F161" s="15"/>
      <c r="G161" s="25"/>
      <c r="H161" s="11" t="str">
        <f t="shared" ca="1" si="2"/>
        <v/>
      </c>
    </row>
    <row r="162" spans="1:8" x14ac:dyDescent="0.35">
      <c r="A162" s="25"/>
      <c r="B162" s="15"/>
      <c r="C162" s="15"/>
      <c r="D162" s="15"/>
      <c r="E162" s="18"/>
      <c r="F162" s="15"/>
      <c r="G162" s="25"/>
      <c r="H162" s="11" t="str">
        <f t="shared" ca="1" si="2"/>
        <v/>
      </c>
    </row>
    <row r="163" spans="1:8" x14ac:dyDescent="0.35">
      <c r="A163" s="25"/>
      <c r="B163" s="15"/>
      <c r="C163" s="15"/>
      <c r="D163" s="15"/>
      <c r="E163" s="18"/>
      <c r="F163" s="15"/>
      <c r="G163" s="25"/>
      <c r="H163" s="11" t="str">
        <f t="shared" ca="1" si="2"/>
        <v/>
      </c>
    </row>
    <row r="164" spans="1:8" x14ac:dyDescent="0.35">
      <c r="A164" s="25"/>
      <c r="B164" s="15"/>
      <c r="C164" s="15"/>
      <c r="D164" s="15"/>
      <c r="E164" s="18"/>
      <c r="F164" s="15"/>
      <c r="G164" s="25"/>
      <c r="H164" s="11" t="str">
        <f t="shared" ca="1" si="2"/>
        <v/>
      </c>
    </row>
    <row r="165" spans="1:8" x14ac:dyDescent="0.35">
      <c r="A165" s="25"/>
      <c r="B165" s="15"/>
      <c r="C165" s="15"/>
      <c r="D165" s="15"/>
      <c r="E165" s="18"/>
      <c r="F165" s="15"/>
      <c r="G165" s="25"/>
      <c r="H165" s="11" t="str">
        <f t="shared" ca="1" si="2"/>
        <v/>
      </c>
    </row>
    <row r="166" spans="1:8" x14ac:dyDescent="0.35">
      <c r="A166" s="25"/>
      <c r="B166" s="15"/>
      <c r="C166" s="15"/>
      <c r="D166" s="15"/>
      <c r="E166" s="18"/>
      <c r="F166" s="15"/>
      <c r="G166" s="25"/>
      <c r="H166" s="11" t="str">
        <f t="shared" ca="1" si="2"/>
        <v/>
      </c>
    </row>
    <row r="167" spans="1:8" x14ac:dyDescent="0.35">
      <c r="A167" s="25"/>
      <c r="B167" s="15"/>
      <c r="C167" s="15"/>
      <c r="D167" s="15"/>
      <c r="E167" s="18"/>
      <c r="F167" s="15"/>
      <c r="G167" s="25"/>
      <c r="H167" s="11" t="str">
        <f t="shared" ca="1" si="2"/>
        <v/>
      </c>
    </row>
    <row r="168" spans="1:8" x14ac:dyDescent="0.35">
      <c r="A168" s="25"/>
      <c r="B168" s="15"/>
      <c r="C168" s="15"/>
      <c r="D168" s="15"/>
      <c r="E168" s="18"/>
      <c r="F168" s="15"/>
      <c r="G168" s="25"/>
      <c r="H168" s="11" t="str">
        <f t="shared" ca="1" si="2"/>
        <v/>
      </c>
    </row>
    <row r="169" spans="1:8" x14ac:dyDescent="0.35">
      <c r="A169" s="25"/>
      <c r="B169" s="15"/>
      <c r="C169" s="15"/>
      <c r="D169" s="15"/>
      <c r="E169" s="18"/>
      <c r="F169" s="15"/>
      <c r="G169" s="25"/>
      <c r="H169" s="11" t="str">
        <f t="shared" ca="1" si="2"/>
        <v/>
      </c>
    </row>
    <row r="170" spans="1:8" x14ac:dyDescent="0.35">
      <c r="A170" s="25"/>
      <c r="B170" s="15"/>
      <c r="C170" s="15"/>
      <c r="D170" s="15"/>
      <c r="E170" s="18"/>
      <c r="F170" s="15"/>
      <c r="G170" s="25"/>
      <c r="H170" s="11" t="str">
        <f t="shared" ca="1" si="2"/>
        <v/>
      </c>
    </row>
    <row r="171" spans="1:8" x14ac:dyDescent="0.35">
      <c r="A171" s="25"/>
      <c r="B171" s="15"/>
      <c r="C171" s="15"/>
      <c r="D171" s="15"/>
      <c r="E171" s="18"/>
      <c r="F171" s="15"/>
      <c r="G171" s="25"/>
      <c r="H171" s="11" t="str">
        <f t="shared" ca="1" si="2"/>
        <v/>
      </c>
    </row>
    <row r="172" spans="1:8" x14ac:dyDescent="0.35">
      <c r="A172" s="25"/>
      <c r="B172" s="15"/>
      <c r="C172" s="15"/>
      <c r="D172" s="15"/>
      <c r="E172" s="18"/>
      <c r="F172" s="15"/>
      <c r="G172" s="25"/>
      <c r="H172" s="11" t="str">
        <f t="shared" ca="1" si="2"/>
        <v/>
      </c>
    </row>
    <row r="173" spans="1:8" x14ac:dyDescent="0.35">
      <c r="A173" s="25"/>
      <c r="B173" s="15"/>
      <c r="C173" s="15"/>
      <c r="D173" s="15"/>
      <c r="E173" s="18"/>
      <c r="F173" s="15"/>
      <c r="G173" s="25"/>
      <c r="H173" s="11" t="str">
        <f t="shared" ca="1" si="2"/>
        <v/>
      </c>
    </row>
    <row r="174" spans="1:8" x14ac:dyDescent="0.35">
      <c r="A174" s="25"/>
      <c r="B174" s="15"/>
      <c r="C174" s="15"/>
      <c r="D174" s="15"/>
      <c r="E174" s="18"/>
      <c r="F174" s="15"/>
      <c r="G174" s="25"/>
      <c r="H174" s="11" t="str">
        <f t="shared" ca="1" si="2"/>
        <v/>
      </c>
    </row>
    <row r="175" spans="1:8" x14ac:dyDescent="0.35">
      <c r="A175" s="25"/>
      <c r="B175" s="15"/>
      <c r="C175" s="15"/>
      <c r="D175" s="15"/>
      <c r="E175" s="18"/>
      <c r="F175" s="15"/>
      <c r="G175" s="25"/>
      <c r="H175" s="11" t="str">
        <f t="shared" ca="1" si="2"/>
        <v/>
      </c>
    </row>
    <row r="176" spans="1:8" x14ac:dyDescent="0.35">
      <c r="A176" s="25"/>
      <c r="B176" s="15"/>
      <c r="C176" s="15"/>
      <c r="D176" s="15"/>
      <c r="E176" s="18"/>
      <c r="F176" s="15"/>
      <c r="G176" s="25"/>
      <c r="H176" s="11" t="str">
        <f t="shared" ca="1" si="2"/>
        <v/>
      </c>
    </row>
    <row r="177" spans="1:8" x14ac:dyDescent="0.35">
      <c r="A177" s="25"/>
      <c r="B177" s="15"/>
      <c r="C177" s="15"/>
      <c r="D177" s="15"/>
      <c r="E177" s="18"/>
      <c r="F177" s="15"/>
      <c r="G177" s="25"/>
      <c r="H177" s="11" t="str">
        <f t="shared" ca="1" si="2"/>
        <v/>
      </c>
    </row>
    <row r="178" spans="1:8" x14ac:dyDescent="0.35">
      <c r="A178" s="25"/>
      <c r="B178" s="15"/>
      <c r="C178" s="15"/>
      <c r="D178" s="15"/>
      <c r="E178" s="18"/>
      <c r="F178" s="15"/>
      <c r="G178" s="25"/>
      <c r="H178" s="11" t="str">
        <f t="shared" ca="1" si="2"/>
        <v/>
      </c>
    </row>
    <row r="179" spans="1:8" x14ac:dyDescent="0.35">
      <c r="A179" s="25"/>
      <c r="B179" s="15"/>
      <c r="C179" s="15"/>
      <c r="D179" s="15"/>
      <c r="E179" s="18"/>
      <c r="F179" s="15"/>
      <c r="G179" s="25"/>
      <c r="H179" s="11" t="str">
        <f t="shared" ca="1" si="2"/>
        <v/>
      </c>
    </row>
    <row r="180" spans="1:8" x14ac:dyDescent="0.35">
      <c r="A180" s="25"/>
      <c r="B180" s="15"/>
      <c r="C180" s="15"/>
      <c r="D180" s="15"/>
      <c r="E180" s="18"/>
      <c r="F180" s="15"/>
      <c r="G180" s="25"/>
      <c r="H180" s="11" t="str">
        <f t="shared" ca="1" si="2"/>
        <v/>
      </c>
    </row>
    <row r="181" spans="1:8" x14ac:dyDescent="0.35">
      <c r="A181" s="25"/>
      <c r="B181" s="15"/>
      <c r="C181" s="15"/>
      <c r="D181" s="15"/>
      <c r="E181" s="18"/>
      <c r="F181" s="15"/>
      <c r="G181" s="25"/>
      <c r="H181" s="11" t="str">
        <f t="shared" ca="1" si="2"/>
        <v/>
      </c>
    </row>
    <row r="182" spans="1:8" x14ac:dyDescent="0.35">
      <c r="A182" s="25"/>
      <c r="B182" s="15"/>
      <c r="C182" s="15"/>
      <c r="D182" s="15"/>
      <c r="E182" s="18"/>
      <c r="F182" s="15"/>
      <c r="G182" s="25"/>
      <c r="H182" s="11" t="str">
        <f t="shared" ca="1" si="2"/>
        <v/>
      </c>
    </row>
    <row r="183" spans="1:8" x14ac:dyDescent="0.35">
      <c r="A183" s="25"/>
      <c r="B183" s="15"/>
      <c r="C183" s="15"/>
      <c r="D183" s="15"/>
      <c r="E183" s="18"/>
      <c r="F183" s="15"/>
      <c r="G183" s="25"/>
      <c r="H183" s="11" t="str">
        <f t="shared" ca="1" si="2"/>
        <v/>
      </c>
    </row>
    <row r="184" spans="1:8" x14ac:dyDescent="0.35">
      <c r="A184" s="25"/>
      <c r="B184" s="15"/>
      <c r="C184" s="15"/>
      <c r="D184" s="15"/>
      <c r="E184" s="18"/>
      <c r="F184" s="15"/>
      <c r="G184" s="25"/>
      <c r="H184" s="11" t="str">
        <f t="shared" ca="1" si="2"/>
        <v/>
      </c>
    </row>
    <row r="185" spans="1:8" x14ac:dyDescent="0.35">
      <c r="A185" s="25"/>
      <c r="B185" s="15"/>
      <c r="C185" s="15"/>
      <c r="D185" s="15"/>
      <c r="E185" s="18"/>
      <c r="F185" s="15"/>
      <c r="G185" s="25"/>
      <c r="H185" s="11" t="str">
        <f t="shared" ca="1" si="2"/>
        <v/>
      </c>
    </row>
    <row r="186" spans="1:8" x14ac:dyDescent="0.35">
      <c r="A186" s="25"/>
      <c r="B186" s="15"/>
      <c r="C186" s="15"/>
      <c r="D186" s="15"/>
      <c r="E186" s="18"/>
      <c r="F186" s="15"/>
      <c r="G186" s="25"/>
      <c r="H186" s="11" t="str">
        <f t="shared" ca="1" si="2"/>
        <v/>
      </c>
    </row>
    <row r="187" spans="1:8" x14ac:dyDescent="0.35">
      <c r="A187" s="25"/>
      <c r="B187" s="15"/>
      <c r="C187" s="15"/>
      <c r="D187" s="15"/>
      <c r="E187" s="18"/>
      <c r="F187" s="15"/>
      <c r="G187" s="25"/>
      <c r="H187" s="11" t="str">
        <f t="shared" ca="1" si="2"/>
        <v/>
      </c>
    </row>
    <row r="188" spans="1:8" x14ac:dyDescent="0.35">
      <c r="A188" s="25"/>
      <c r="B188" s="15"/>
      <c r="C188" s="15"/>
      <c r="D188" s="15"/>
      <c r="E188" s="18"/>
      <c r="F188" s="15"/>
      <c r="G188" s="25"/>
      <c r="H188" s="11" t="str">
        <f t="shared" ca="1" si="2"/>
        <v/>
      </c>
    </row>
    <row r="189" spans="1:8" x14ac:dyDescent="0.35">
      <c r="A189" s="25"/>
      <c r="B189" s="15"/>
      <c r="C189" s="15"/>
      <c r="D189" s="15"/>
      <c r="E189" s="18"/>
      <c r="F189" s="15"/>
      <c r="G189" s="25"/>
      <c r="H189" s="11" t="str">
        <f t="shared" ca="1" si="2"/>
        <v/>
      </c>
    </row>
    <row r="190" spans="1:8" x14ac:dyDescent="0.35">
      <c r="A190" s="25"/>
      <c r="B190" s="15"/>
      <c r="C190" s="15"/>
      <c r="D190" s="15"/>
      <c r="E190" s="18"/>
      <c r="F190" s="15"/>
      <c r="G190" s="25"/>
      <c r="H190" s="11" t="str">
        <f t="shared" ca="1" si="2"/>
        <v/>
      </c>
    </row>
    <row r="191" spans="1:8" x14ac:dyDescent="0.35">
      <c r="A191" s="25"/>
      <c r="B191" s="15"/>
      <c r="C191" s="15"/>
      <c r="D191" s="15"/>
      <c r="E191" s="18"/>
      <c r="F191" s="15"/>
      <c r="G191" s="25"/>
      <c r="H191" s="11" t="str">
        <f t="shared" ca="1" si="2"/>
        <v/>
      </c>
    </row>
    <row r="192" spans="1:8" x14ac:dyDescent="0.35">
      <c r="A192" s="25"/>
      <c r="B192" s="15"/>
      <c r="C192" s="15"/>
      <c r="D192" s="15"/>
      <c r="E192" s="18"/>
      <c r="F192" s="15"/>
      <c r="G192" s="25"/>
      <c r="H192" s="11" t="str">
        <f t="shared" ca="1" si="2"/>
        <v/>
      </c>
    </row>
    <row r="193" spans="1:8" x14ac:dyDescent="0.35">
      <c r="A193" s="25"/>
      <c r="B193" s="15"/>
      <c r="C193" s="15"/>
      <c r="D193" s="15"/>
      <c r="E193" s="18"/>
      <c r="F193" s="15"/>
      <c r="G193" s="25"/>
      <c r="H193" s="11" t="str">
        <f t="shared" ca="1" si="2"/>
        <v/>
      </c>
    </row>
    <row r="194" spans="1:8" x14ac:dyDescent="0.35">
      <c r="A194" s="25"/>
      <c r="B194" s="15"/>
      <c r="C194" s="15"/>
      <c r="D194" s="15"/>
      <c r="E194" s="18"/>
      <c r="F194" s="15"/>
      <c r="G194" s="25"/>
      <c r="H194" s="11" t="str">
        <f t="shared" ca="1" si="2"/>
        <v/>
      </c>
    </row>
    <row r="195" spans="1:8" x14ac:dyDescent="0.35">
      <c r="A195" s="25"/>
      <c r="B195" s="15"/>
      <c r="C195" s="15"/>
      <c r="D195" s="15"/>
      <c r="E195" s="18"/>
      <c r="F195" s="15"/>
      <c r="G195" s="25"/>
      <c r="H195" s="11" t="str">
        <f t="shared" ca="1" si="2"/>
        <v/>
      </c>
    </row>
    <row r="196" spans="1:8" x14ac:dyDescent="0.35">
      <c r="A196" s="25"/>
      <c r="B196" s="15"/>
      <c r="C196" s="15"/>
      <c r="D196" s="15"/>
      <c r="E196" s="18"/>
      <c r="F196" s="15"/>
      <c r="G196" s="25"/>
      <c r="H196" s="11" t="str">
        <f t="shared" ca="1" si="2"/>
        <v/>
      </c>
    </row>
    <row r="197" spans="1:8" x14ac:dyDescent="0.35">
      <c r="A197" s="25"/>
      <c r="B197" s="15"/>
      <c r="C197" s="15"/>
      <c r="D197" s="15"/>
      <c r="E197" s="18"/>
      <c r="F197" s="15"/>
      <c r="G197" s="25"/>
      <c r="H197" s="11" t="str">
        <f t="shared" ref="H197:H260" ca="1" si="3">IF(AND(F197="Owed",ISNUMBER(G197)),IF(G197&lt;TODAY(),"OVERDUE",IF(G197-TODAY()&lt;=30,"Due in "&amp;(G197-TODAY())&amp;" days","")),"")</f>
        <v/>
      </c>
    </row>
    <row r="198" spans="1:8" x14ac:dyDescent="0.35">
      <c r="A198" s="25"/>
      <c r="B198" s="15"/>
      <c r="C198" s="15"/>
      <c r="D198" s="15"/>
      <c r="E198" s="18"/>
      <c r="F198" s="15"/>
      <c r="G198" s="25"/>
      <c r="H198" s="11" t="str">
        <f t="shared" ca="1" si="3"/>
        <v/>
      </c>
    </row>
    <row r="199" spans="1:8" x14ac:dyDescent="0.35">
      <c r="A199" s="25"/>
      <c r="B199" s="15"/>
      <c r="C199" s="15"/>
      <c r="D199" s="15"/>
      <c r="E199" s="18"/>
      <c r="F199" s="15"/>
      <c r="G199" s="25"/>
      <c r="H199" s="11" t="str">
        <f t="shared" ca="1" si="3"/>
        <v/>
      </c>
    </row>
    <row r="200" spans="1:8" x14ac:dyDescent="0.35">
      <c r="A200" s="25"/>
      <c r="B200" s="15"/>
      <c r="C200" s="15"/>
      <c r="D200" s="15"/>
      <c r="E200" s="18"/>
      <c r="F200" s="15"/>
      <c r="G200" s="25"/>
      <c r="H200" s="11" t="str">
        <f t="shared" ca="1" si="3"/>
        <v/>
      </c>
    </row>
    <row r="201" spans="1:8" x14ac:dyDescent="0.35">
      <c r="A201" s="25"/>
      <c r="B201" s="15"/>
      <c r="C201" s="15"/>
      <c r="D201" s="15"/>
      <c r="E201" s="18"/>
      <c r="F201" s="15"/>
      <c r="G201" s="25"/>
      <c r="H201" s="11" t="str">
        <f t="shared" ca="1" si="3"/>
        <v/>
      </c>
    </row>
    <row r="202" spans="1:8" x14ac:dyDescent="0.35">
      <c r="A202" s="25"/>
      <c r="B202" s="15"/>
      <c r="C202" s="15"/>
      <c r="D202" s="15"/>
      <c r="E202" s="18"/>
      <c r="F202" s="15"/>
      <c r="G202" s="25"/>
      <c r="H202" s="11" t="str">
        <f t="shared" ca="1" si="3"/>
        <v/>
      </c>
    </row>
    <row r="203" spans="1:8" x14ac:dyDescent="0.35">
      <c r="A203" s="25"/>
      <c r="B203" s="15"/>
      <c r="C203" s="15"/>
      <c r="D203" s="15"/>
      <c r="E203" s="18"/>
      <c r="F203" s="15"/>
      <c r="G203" s="25"/>
      <c r="H203" s="11" t="str">
        <f t="shared" ca="1" si="3"/>
        <v/>
      </c>
    </row>
    <row r="204" spans="1:8" x14ac:dyDescent="0.35">
      <c r="A204" s="25"/>
      <c r="B204" s="15"/>
      <c r="C204" s="15"/>
      <c r="D204" s="15"/>
      <c r="E204" s="18"/>
      <c r="F204" s="15"/>
      <c r="G204" s="25"/>
      <c r="H204" s="11" t="str">
        <f t="shared" ca="1" si="3"/>
        <v/>
      </c>
    </row>
    <row r="205" spans="1:8" x14ac:dyDescent="0.35">
      <c r="A205" s="25"/>
      <c r="B205" s="15"/>
      <c r="C205" s="15"/>
      <c r="D205" s="15"/>
      <c r="E205" s="18"/>
      <c r="F205" s="15"/>
      <c r="G205" s="25"/>
      <c r="H205" s="11" t="str">
        <f t="shared" ca="1" si="3"/>
        <v/>
      </c>
    </row>
    <row r="206" spans="1:8" x14ac:dyDescent="0.35">
      <c r="A206" s="25"/>
      <c r="B206" s="15"/>
      <c r="C206" s="15"/>
      <c r="D206" s="15"/>
      <c r="E206" s="18"/>
      <c r="F206" s="15"/>
      <c r="G206" s="25"/>
      <c r="H206" s="11" t="str">
        <f t="shared" ca="1" si="3"/>
        <v/>
      </c>
    </row>
    <row r="207" spans="1:8" x14ac:dyDescent="0.35">
      <c r="A207" s="25"/>
      <c r="B207" s="15"/>
      <c r="C207" s="15"/>
      <c r="D207" s="15"/>
      <c r="E207" s="18"/>
      <c r="F207" s="15"/>
      <c r="G207" s="25"/>
      <c r="H207" s="11" t="str">
        <f t="shared" ca="1" si="3"/>
        <v/>
      </c>
    </row>
    <row r="208" spans="1:8" x14ac:dyDescent="0.35">
      <c r="A208" s="25"/>
      <c r="B208" s="15"/>
      <c r="C208" s="15"/>
      <c r="D208" s="15"/>
      <c r="E208" s="18"/>
      <c r="F208" s="15"/>
      <c r="G208" s="25"/>
      <c r="H208" s="11" t="str">
        <f t="shared" ca="1" si="3"/>
        <v/>
      </c>
    </row>
    <row r="209" spans="1:8" x14ac:dyDescent="0.35">
      <c r="A209" s="25"/>
      <c r="B209" s="15"/>
      <c r="C209" s="15"/>
      <c r="D209" s="15"/>
      <c r="E209" s="18"/>
      <c r="F209" s="15"/>
      <c r="G209" s="25"/>
      <c r="H209" s="11" t="str">
        <f t="shared" ca="1" si="3"/>
        <v/>
      </c>
    </row>
    <row r="210" spans="1:8" x14ac:dyDescent="0.35">
      <c r="A210" s="25"/>
      <c r="B210" s="15"/>
      <c r="C210" s="15"/>
      <c r="D210" s="15"/>
      <c r="E210" s="18"/>
      <c r="F210" s="15"/>
      <c r="G210" s="25"/>
      <c r="H210" s="11" t="str">
        <f t="shared" ca="1" si="3"/>
        <v/>
      </c>
    </row>
    <row r="211" spans="1:8" x14ac:dyDescent="0.35">
      <c r="A211" s="25"/>
      <c r="B211" s="15"/>
      <c r="C211" s="15"/>
      <c r="D211" s="15"/>
      <c r="E211" s="18"/>
      <c r="F211" s="15"/>
      <c r="G211" s="25"/>
      <c r="H211" s="11" t="str">
        <f t="shared" ca="1" si="3"/>
        <v/>
      </c>
    </row>
    <row r="212" spans="1:8" x14ac:dyDescent="0.35">
      <c r="A212" s="25"/>
      <c r="B212" s="15"/>
      <c r="C212" s="15"/>
      <c r="D212" s="15"/>
      <c r="E212" s="18"/>
      <c r="F212" s="15"/>
      <c r="G212" s="25"/>
      <c r="H212" s="11" t="str">
        <f t="shared" ca="1" si="3"/>
        <v/>
      </c>
    </row>
    <row r="213" spans="1:8" x14ac:dyDescent="0.35">
      <c r="A213" s="25"/>
      <c r="B213" s="15"/>
      <c r="C213" s="15"/>
      <c r="D213" s="15"/>
      <c r="E213" s="18"/>
      <c r="F213" s="15"/>
      <c r="G213" s="25"/>
      <c r="H213" s="11" t="str">
        <f t="shared" ca="1" si="3"/>
        <v/>
      </c>
    </row>
    <row r="214" spans="1:8" x14ac:dyDescent="0.35">
      <c r="A214" s="25"/>
      <c r="B214" s="15"/>
      <c r="C214" s="15"/>
      <c r="D214" s="15"/>
      <c r="E214" s="18"/>
      <c r="F214" s="15"/>
      <c r="G214" s="25"/>
      <c r="H214" s="11" t="str">
        <f t="shared" ca="1" si="3"/>
        <v/>
      </c>
    </row>
    <row r="215" spans="1:8" x14ac:dyDescent="0.35">
      <c r="A215" s="25"/>
      <c r="B215" s="15"/>
      <c r="C215" s="15"/>
      <c r="D215" s="15"/>
      <c r="E215" s="18"/>
      <c r="F215" s="15"/>
      <c r="G215" s="25"/>
      <c r="H215" s="11" t="str">
        <f t="shared" ca="1" si="3"/>
        <v/>
      </c>
    </row>
    <row r="216" spans="1:8" x14ac:dyDescent="0.35">
      <c r="A216" s="25"/>
      <c r="B216" s="15"/>
      <c r="C216" s="15"/>
      <c r="D216" s="15"/>
      <c r="E216" s="18"/>
      <c r="F216" s="15"/>
      <c r="G216" s="25"/>
      <c r="H216" s="11" t="str">
        <f t="shared" ca="1" si="3"/>
        <v/>
      </c>
    </row>
    <row r="217" spans="1:8" x14ac:dyDescent="0.35">
      <c r="A217" s="25"/>
      <c r="B217" s="15"/>
      <c r="C217" s="15"/>
      <c r="D217" s="15"/>
      <c r="E217" s="18"/>
      <c r="F217" s="15"/>
      <c r="G217" s="25"/>
      <c r="H217" s="11" t="str">
        <f t="shared" ca="1" si="3"/>
        <v/>
      </c>
    </row>
    <row r="218" spans="1:8" x14ac:dyDescent="0.35">
      <c r="A218" s="25"/>
      <c r="B218" s="15"/>
      <c r="C218" s="15"/>
      <c r="D218" s="15"/>
      <c r="E218" s="18"/>
      <c r="F218" s="15"/>
      <c r="G218" s="25"/>
      <c r="H218" s="11" t="str">
        <f t="shared" ca="1" si="3"/>
        <v/>
      </c>
    </row>
    <row r="219" spans="1:8" x14ac:dyDescent="0.35">
      <c r="A219" s="25"/>
      <c r="B219" s="15"/>
      <c r="C219" s="15"/>
      <c r="D219" s="15"/>
      <c r="E219" s="18"/>
      <c r="F219" s="15"/>
      <c r="G219" s="25"/>
      <c r="H219" s="11" t="str">
        <f t="shared" ca="1" si="3"/>
        <v/>
      </c>
    </row>
    <row r="220" spans="1:8" x14ac:dyDescent="0.35">
      <c r="A220" s="25"/>
      <c r="B220" s="15"/>
      <c r="C220" s="15"/>
      <c r="D220" s="15"/>
      <c r="E220" s="18"/>
      <c r="F220" s="15"/>
      <c r="G220" s="25"/>
      <c r="H220" s="11" t="str">
        <f t="shared" ca="1" si="3"/>
        <v/>
      </c>
    </row>
    <row r="221" spans="1:8" x14ac:dyDescent="0.35">
      <c r="A221" s="25"/>
      <c r="B221" s="15"/>
      <c r="C221" s="15"/>
      <c r="D221" s="15"/>
      <c r="E221" s="18"/>
      <c r="F221" s="15"/>
      <c r="G221" s="25"/>
      <c r="H221" s="11" t="str">
        <f t="shared" ca="1" si="3"/>
        <v/>
      </c>
    </row>
    <row r="222" spans="1:8" x14ac:dyDescent="0.35">
      <c r="A222" s="25"/>
      <c r="B222" s="15"/>
      <c r="C222" s="15"/>
      <c r="D222" s="15"/>
      <c r="E222" s="18"/>
      <c r="F222" s="15"/>
      <c r="G222" s="25"/>
      <c r="H222" s="11" t="str">
        <f t="shared" ca="1" si="3"/>
        <v/>
      </c>
    </row>
    <row r="223" spans="1:8" x14ac:dyDescent="0.35">
      <c r="A223" s="25"/>
      <c r="B223" s="15"/>
      <c r="C223" s="15"/>
      <c r="D223" s="15"/>
      <c r="E223" s="18"/>
      <c r="F223" s="15"/>
      <c r="G223" s="25"/>
      <c r="H223" s="11" t="str">
        <f t="shared" ca="1" si="3"/>
        <v/>
      </c>
    </row>
    <row r="224" spans="1:8" x14ac:dyDescent="0.35">
      <c r="A224" s="25"/>
      <c r="B224" s="15"/>
      <c r="C224" s="15"/>
      <c r="D224" s="15"/>
      <c r="E224" s="18"/>
      <c r="F224" s="15"/>
      <c r="G224" s="25"/>
      <c r="H224" s="11" t="str">
        <f t="shared" ca="1" si="3"/>
        <v/>
      </c>
    </row>
    <row r="225" spans="1:8" x14ac:dyDescent="0.35">
      <c r="A225" s="25"/>
      <c r="B225" s="15"/>
      <c r="C225" s="15"/>
      <c r="D225" s="15"/>
      <c r="E225" s="18"/>
      <c r="F225" s="15"/>
      <c r="G225" s="25"/>
      <c r="H225" s="11" t="str">
        <f t="shared" ca="1" si="3"/>
        <v/>
      </c>
    </row>
    <row r="226" spans="1:8" x14ac:dyDescent="0.35">
      <c r="A226" s="25"/>
      <c r="B226" s="15"/>
      <c r="C226" s="15"/>
      <c r="D226" s="15"/>
      <c r="E226" s="18"/>
      <c r="F226" s="15"/>
      <c r="G226" s="25"/>
      <c r="H226" s="11" t="str">
        <f t="shared" ca="1" si="3"/>
        <v/>
      </c>
    </row>
    <row r="227" spans="1:8" x14ac:dyDescent="0.35">
      <c r="A227" s="25"/>
      <c r="B227" s="15"/>
      <c r="C227" s="15"/>
      <c r="D227" s="15"/>
      <c r="E227" s="18"/>
      <c r="F227" s="15"/>
      <c r="G227" s="25"/>
      <c r="H227" s="11" t="str">
        <f t="shared" ca="1" si="3"/>
        <v/>
      </c>
    </row>
    <row r="228" spans="1:8" x14ac:dyDescent="0.35">
      <c r="A228" s="25"/>
      <c r="B228" s="15"/>
      <c r="C228" s="15"/>
      <c r="D228" s="15"/>
      <c r="E228" s="18"/>
      <c r="F228" s="15"/>
      <c r="G228" s="25"/>
      <c r="H228" s="11" t="str">
        <f t="shared" ca="1" si="3"/>
        <v/>
      </c>
    </row>
    <row r="229" spans="1:8" x14ac:dyDescent="0.35">
      <c r="A229" s="25"/>
      <c r="B229" s="15"/>
      <c r="C229" s="15"/>
      <c r="D229" s="15"/>
      <c r="E229" s="18"/>
      <c r="F229" s="15"/>
      <c r="G229" s="25"/>
      <c r="H229" s="11" t="str">
        <f t="shared" ca="1" si="3"/>
        <v/>
      </c>
    </row>
    <row r="230" spans="1:8" x14ac:dyDescent="0.35">
      <c r="A230" s="25"/>
      <c r="B230" s="15"/>
      <c r="C230" s="15"/>
      <c r="D230" s="15"/>
      <c r="E230" s="18"/>
      <c r="F230" s="15"/>
      <c r="G230" s="25"/>
      <c r="H230" s="11" t="str">
        <f t="shared" ca="1" si="3"/>
        <v/>
      </c>
    </row>
    <row r="231" spans="1:8" x14ac:dyDescent="0.35">
      <c r="A231" s="25"/>
      <c r="B231" s="15"/>
      <c r="C231" s="15"/>
      <c r="D231" s="15"/>
      <c r="E231" s="18"/>
      <c r="F231" s="15"/>
      <c r="G231" s="25"/>
      <c r="H231" s="11" t="str">
        <f t="shared" ca="1" si="3"/>
        <v/>
      </c>
    </row>
    <row r="232" spans="1:8" x14ac:dyDescent="0.35">
      <c r="A232" s="25"/>
      <c r="B232" s="15"/>
      <c r="C232" s="15"/>
      <c r="D232" s="15"/>
      <c r="E232" s="18"/>
      <c r="F232" s="15"/>
      <c r="G232" s="25"/>
      <c r="H232" s="11" t="str">
        <f t="shared" ca="1" si="3"/>
        <v/>
      </c>
    </row>
    <row r="233" spans="1:8" x14ac:dyDescent="0.35">
      <c r="A233" s="25"/>
      <c r="B233" s="15"/>
      <c r="C233" s="15"/>
      <c r="D233" s="15"/>
      <c r="E233" s="18"/>
      <c r="F233" s="15"/>
      <c r="G233" s="25"/>
      <c r="H233" s="11" t="str">
        <f t="shared" ca="1" si="3"/>
        <v/>
      </c>
    </row>
    <row r="234" spans="1:8" x14ac:dyDescent="0.35">
      <c r="A234" s="25"/>
      <c r="B234" s="15"/>
      <c r="C234" s="15"/>
      <c r="D234" s="15"/>
      <c r="E234" s="18"/>
      <c r="F234" s="15"/>
      <c r="G234" s="25"/>
      <c r="H234" s="11" t="str">
        <f t="shared" ca="1" si="3"/>
        <v/>
      </c>
    </row>
    <row r="235" spans="1:8" x14ac:dyDescent="0.35">
      <c r="A235" s="25"/>
      <c r="B235" s="15"/>
      <c r="C235" s="15"/>
      <c r="D235" s="15"/>
      <c r="E235" s="18"/>
      <c r="F235" s="15"/>
      <c r="G235" s="25"/>
      <c r="H235" s="11" t="str">
        <f t="shared" ca="1" si="3"/>
        <v/>
      </c>
    </row>
    <row r="236" spans="1:8" x14ac:dyDescent="0.35">
      <c r="A236" s="25"/>
      <c r="B236" s="15"/>
      <c r="C236" s="15"/>
      <c r="D236" s="15"/>
      <c r="E236" s="18"/>
      <c r="F236" s="15"/>
      <c r="G236" s="25"/>
      <c r="H236" s="11" t="str">
        <f t="shared" ca="1" si="3"/>
        <v/>
      </c>
    </row>
    <row r="237" spans="1:8" x14ac:dyDescent="0.35">
      <c r="A237" s="25"/>
      <c r="B237" s="15"/>
      <c r="C237" s="15"/>
      <c r="D237" s="15"/>
      <c r="E237" s="18"/>
      <c r="F237" s="15"/>
      <c r="G237" s="25"/>
      <c r="H237" s="11" t="str">
        <f t="shared" ca="1" si="3"/>
        <v/>
      </c>
    </row>
    <row r="238" spans="1:8" x14ac:dyDescent="0.35">
      <c r="A238" s="25"/>
      <c r="B238" s="15"/>
      <c r="C238" s="15"/>
      <c r="D238" s="15"/>
      <c r="E238" s="18"/>
      <c r="F238" s="15"/>
      <c r="G238" s="25"/>
      <c r="H238" s="11" t="str">
        <f t="shared" ca="1" si="3"/>
        <v/>
      </c>
    </row>
    <row r="239" spans="1:8" x14ac:dyDescent="0.35">
      <c r="A239" s="25"/>
      <c r="B239" s="15"/>
      <c r="C239" s="15"/>
      <c r="D239" s="15"/>
      <c r="E239" s="18"/>
      <c r="F239" s="15"/>
      <c r="G239" s="25"/>
      <c r="H239" s="11" t="str">
        <f t="shared" ca="1" si="3"/>
        <v/>
      </c>
    </row>
    <row r="240" spans="1:8" x14ac:dyDescent="0.35">
      <c r="A240" s="25"/>
      <c r="B240" s="15"/>
      <c r="C240" s="15"/>
      <c r="D240" s="15"/>
      <c r="E240" s="18"/>
      <c r="F240" s="15"/>
      <c r="G240" s="25"/>
      <c r="H240" s="11" t="str">
        <f t="shared" ca="1" si="3"/>
        <v/>
      </c>
    </row>
    <row r="241" spans="1:8" x14ac:dyDescent="0.35">
      <c r="A241" s="25"/>
      <c r="B241" s="15"/>
      <c r="C241" s="15"/>
      <c r="D241" s="15"/>
      <c r="E241" s="18"/>
      <c r="F241" s="15"/>
      <c r="G241" s="25"/>
      <c r="H241" s="11" t="str">
        <f t="shared" ca="1" si="3"/>
        <v/>
      </c>
    </row>
    <row r="242" spans="1:8" x14ac:dyDescent="0.35">
      <c r="A242" s="25"/>
      <c r="B242" s="15"/>
      <c r="C242" s="15"/>
      <c r="D242" s="15"/>
      <c r="E242" s="18"/>
      <c r="F242" s="15"/>
      <c r="G242" s="25"/>
      <c r="H242" s="11" t="str">
        <f t="shared" ca="1" si="3"/>
        <v/>
      </c>
    </row>
    <row r="243" spans="1:8" x14ac:dyDescent="0.35">
      <c r="A243" s="25"/>
      <c r="B243" s="15"/>
      <c r="C243" s="15"/>
      <c r="D243" s="15"/>
      <c r="E243" s="18"/>
      <c r="F243" s="15"/>
      <c r="G243" s="25"/>
      <c r="H243" s="11" t="str">
        <f t="shared" ca="1" si="3"/>
        <v/>
      </c>
    </row>
    <row r="244" spans="1:8" x14ac:dyDescent="0.35">
      <c r="A244" s="25"/>
      <c r="B244" s="15"/>
      <c r="C244" s="15"/>
      <c r="D244" s="15"/>
      <c r="E244" s="18"/>
      <c r="F244" s="15"/>
      <c r="G244" s="25"/>
      <c r="H244" s="11" t="str">
        <f t="shared" ca="1" si="3"/>
        <v/>
      </c>
    </row>
    <row r="245" spans="1:8" x14ac:dyDescent="0.35">
      <c r="A245" s="25"/>
      <c r="B245" s="15"/>
      <c r="C245" s="15"/>
      <c r="D245" s="15"/>
      <c r="E245" s="18"/>
      <c r="F245" s="15"/>
      <c r="G245" s="25"/>
      <c r="H245" s="11" t="str">
        <f t="shared" ca="1" si="3"/>
        <v/>
      </c>
    </row>
    <row r="246" spans="1:8" x14ac:dyDescent="0.35">
      <c r="A246" s="25"/>
      <c r="B246" s="15"/>
      <c r="C246" s="15"/>
      <c r="D246" s="15"/>
      <c r="E246" s="18"/>
      <c r="F246" s="15"/>
      <c r="G246" s="25"/>
      <c r="H246" s="11" t="str">
        <f t="shared" ca="1" si="3"/>
        <v/>
      </c>
    </row>
    <row r="247" spans="1:8" x14ac:dyDescent="0.35">
      <c r="A247" s="25"/>
      <c r="B247" s="15"/>
      <c r="C247" s="15"/>
      <c r="D247" s="15"/>
      <c r="E247" s="18"/>
      <c r="F247" s="15"/>
      <c r="G247" s="25"/>
      <c r="H247" s="11" t="str">
        <f t="shared" ca="1" si="3"/>
        <v/>
      </c>
    </row>
    <row r="248" spans="1:8" x14ac:dyDescent="0.35">
      <c r="A248" s="25"/>
      <c r="B248" s="15"/>
      <c r="C248" s="15"/>
      <c r="D248" s="15"/>
      <c r="E248" s="18"/>
      <c r="F248" s="15"/>
      <c r="G248" s="25"/>
      <c r="H248" s="11" t="str">
        <f t="shared" ca="1" si="3"/>
        <v/>
      </c>
    </row>
    <row r="249" spans="1:8" x14ac:dyDescent="0.35">
      <c r="A249" s="25"/>
      <c r="B249" s="15"/>
      <c r="C249" s="15"/>
      <c r="D249" s="15"/>
      <c r="E249" s="18"/>
      <c r="F249" s="15"/>
      <c r="G249" s="25"/>
      <c r="H249" s="11" t="str">
        <f t="shared" ca="1" si="3"/>
        <v/>
      </c>
    </row>
    <row r="250" spans="1:8" x14ac:dyDescent="0.35">
      <c r="A250" s="25"/>
      <c r="B250" s="15"/>
      <c r="C250" s="15"/>
      <c r="D250" s="15"/>
      <c r="E250" s="18"/>
      <c r="F250" s="15"/>
      <c r="G250" s="25"/>
      <c r="H250" s="11" t="str">
        <f t="shared" ca="1" si="3"/>
        <v/>
      </c>
    </row>
    <row r="251" spans="1:8" x14ac:dyDescent="0.35">
      <c r="A251" s="25"/>
      <c r="B251" s="15"/>
      <c r="C251" s="15"/>
      <c r="D251" s="15"/>
      <c r="E251" s="18"/>
      <c r="F251" s="15"/>
      <c r="G251" s="25"/>
      <c r="H251" s="11" t="str">
        <f t="shared" ca="1" si="3"/>
        <v/>
      </c>
    </row>
    <row r="252" spans="1:8" x14ac:dyDescent="0.35">
      <c r="A252" s="25"/>
      <c r="B252" s="15"/>
      <c r="C252" s="15"/>
      <c r="D252" s="15"/>
      <c r="E252" s="18"/>
      <c r="F252" s="15"/>
      <c r="G252" s="25"/>
      <c r="H252" s="11" t="str">
        <f t="shared" ca="1" si="3"/>
        <v/>
      </c>
    </row>
    <row r="253" spans="1:8" x14ac:dyDescent="0.35">
      <c r="A253" s="25"/>
      <c r="B253" s="15"/>
      <c r="C253" s="15"/>
      <c r="D253" s="15"/>
      <c r="E253" s="18"/>
      <c r="F253" s="15"/>
      <c r="G253" s="25"/>
      <c r="H253" s="11" t="str">
        <f t="shared" ca="1" si="3"/>
        <v/>
      </c>
    </row>
    <row r="254" spans="1:8" x14ac:dyDescent="0.35">
      <c r="A254" s="25"/>
      <c r="B254" s="15"/>
      <c r="C254" s="15"/>
      <c r="D254" s="15"/>
      <c r="E254" s="18"/>
      <c r="F254" s="15"/>
      <c r="G254" s="25"/>
      <c r="H254" s="11" t="str">
        <f t="shared" ca="1" si="3"/>
        <v/>
      </c>
    </row>
    <row r="255" spans="1:8" x14ac:dyDescent="0.35">
      <c r="A255" s="25"/>
      <c r="B255" s="15"/>
      <c r="C255" s="15"/>
      <c r="D255" s="15"/>
      <c r="E255" s="18"/>
      <c r="F255" s="15"/>
      <c r="G255" s="25"/>
      <c r="H255" s="11" t="str">
        <f t="shared" ca="1" si="3"/>
        <v/>
      </c>
    </row>
    <row r="256" spans="1:8" x14ac:dyDescent="0.35">
      <c r="A256" s="25"/>
      <c r="B256" s="15"/>
      <c r="C256" s="15"/>
      <c r="D256" s="15"/>
      <c r="E256" s="18"/>
      <c r="F256" s="15"/>
      <c r="G256" s="25"/>
      <c r="H256" s="11" t="str">
        <f t="shared" ca="1" si="3"/>
        <v/>
      </c>
    </row>
    <row r="257" spans="1:8" x14ac:dyDescent="0.35">
      <c r="A257" s="25"/>
      <c r="B257" s="15"/>
      <c r="C257" s="15"/>
      <c r="D257" s="15"/>
      <c r="E257" s="18"/>
      <c r="F257" s="15"/>
      <c r="G257" s="25"/>
      <c r="H257" s="11" t="str">
        <f t="shared" ca="1" si="3"/>
        <v/>
      </c>
    </row>
    <row r="258" spans="1:8" x14ac:dyDescent="0.35">
      <c r="A258" s="25"/>
      <c r="B258" s="15"/>
      <c r="C258" s="15"/>
      <c r="D258" s="15"/>
      <c r="E258" s="18"/>
      <c r="F258" s="15"/>
      <c r="G258" s="25"/>
      <c r="H258" s="11" t="str">
        <f t="shared" ca="1" si="3"/>
        <v/>
      </c>
    </row>
    <row r="259" spans="1:8" x14ac:dyDescent="0.35">
      <c r="A259" s="25"/>
      <c r="B259" s="15"/>
      <c r="C259" s="15"/>
      <c r="D259" s="15"/>
      <c r="E259" s="18"/>
      <c r="F259" s="15"/>
      <c r="G259" s="25"/>
      <c r="H259" s="11" t="str">
        <f t="shared" ca="1" si="3"/>
        <v/>
      </c>
    </row>
    <row r="260" spans="1:8" x14ac:dyDescent="0.35">
      <c r="A260" s="25"/>
      <c r="B260" s="15"/>
      <c r="C260" s="15"/>
      <c r="D260" s="15"/>
      <c r="E260" s="18"/>
      <c r="F260" s="15"/>
      <c r="G260" s="25"/>
      <c r="H260" s="11" t="str">
        <f t="shared" ca="1" si="3"/>
        <v/>
      </c>
    </row>
    <row r="261" spans="1:8" x14ac:dyDescent="0.35">
      <c r="A261" s="25"/>
      <c r="B261" s="15"/>
      <c r="C261" s="15"/>
      <c r="D261" s="15"/>
      <c r="E261" s="18"/>
      <c r="F261" s="15"/>
      <c r="G261" s="25"/>
      <c r="H261" s="11" t="str">
        <f t="shared" ref="H261:H324" ca="1" si="4">IF(AND(F261="Owed",ISNUMBER(G261)),IF(G261&lt;TODAY(),"OVERDUE",IF(G261-TODAY()&lt;=30,"Due in "&amp;(G261-TODAY())&amp;" days","")),"")</f>
        <v/>
      </c>
    </row>
    <row r="262" spans="1:8" x14ac:dyDescent="0.35">
      <c r="A262" s="25"/>
      <c r="B262" s="15"/>
      <c r="C262" s="15"/>
      <c r="D262" s="15"/>
      <c r="E262" s="18"/>
      <c r="F262" s="15"/>
      <c r="G262" s="25"/>
      <c r="H262" s="11" t="str">
        <f t="shared" ca="1" si="4"/>
        <v/>
      </c>
    </row>
    <row r="263" spans="1:8" x14ac:dyDescent="0.35">
      <c r="A263" s="25"/>
      <c r="B263" s="15"/>
      <c r="C263" s="15"/>
      <c r="D263" s="15"/>
      <c r="E263" s="18"/>
      <c r="F263" s="15"/>
      <c r="G263" s="25"/>
      <c r="H263" s="11" t="str">
        <f t="shared" ca="1" si="4"/>
        <v/>
      </c>
    </row>
    <row r="264" spans="1:8" x14ac:dyDescent="0.35">
      <c r="A264" s="25"/>
      <c r="B264" s="15"/>
      <c r="C264" s="15"/>
      <c r="D264" s="15"/>
      <c r="E264" s="18"/>
      <c r="F264" s="15"/>
      <c r="G264" s="25"/>
      <c r="H264" s="11" t="str">
        <f t="shared" ca="1" si="4"/>
        <v/>
      </c>
    </row>
    <row r="265" spans="1:8" x14ac:dyDescent="0.35">
      <c r="A265" s="25"/>
      <c r="B265" s="15"/>
      <c r="C265" s="15"/>
      <c r="D265" s="15"/>
      <c r="E265" s="18"/>
      <c r="F265" s="15"/>
      <c r="G265" s="25"/>
      <c r="H265" s="11" t="str">
        <f t="shared" ca="1" si="4"/>
        <v/>
      </c>
    </row>
    <row r="266" spans="1:8" x14ac:dyDescent="0.35">
      <c r="A266" s="25"/>
      <c r="B266" s="15"/>
      <c r="C266" s="15"/>
      <c r="D266" s="15"/>
      <c r="E266" s="18"/>
      <c r="F266" s="15"/>
      <c r="G266" s="25"/>
      <c r="H266" s="11" t="str">
        <f t="shared" ca="1" si="4"/>
        <v/>
      </c>
    </row>
    <row r="267" spans="1:8" x14ac:dyDescent="0.35">
      <c r="A267" s="25"/>
      <c r="B267" s="15"/>
      <c r="C267" s="15"/>
      <c r="D267" s="15"/>
      <c r="E267" s="18"/>
      <c r="F267" s="15"/>
      <c r="G267" s="25"/>
      <c r="H267" s="11" t="str">
        <f t="shared" ca="1" si="4"/>
        <v/>
      </c>
    </row>
    <row r="268" spans="1:8" x14ac:dyDescent="0.35">
      <c r="A268" s="25"/>
      <c r="B268" s="15"/>
      <c r="C268" s="15"/>
      <c r="D268" s="15"/>
      <c r="E268" s="18"/>
      <c r="F268" s="15"/>
      <c r="G268" s="25"/>
      <c r="H268" s="11" t="str">
        <f t="shared" ca="1" si="4"/>
        <v/>
      </c>
    </row>
    <row r="269" spans="1:8" x14ac:dyDescent="0.35">
      <c r="A269" s="25"/>
      <c r="B269" s="15"/>
      <c r="C269" s="15"/>
      <c r="D269" s="15"/>
      <c r="E269" s="18"/>
      <c r="F269" s="15"/>
      <c r="G269" s="25"/>
      <c r="H269" s="11" t="str">
        <f t="shared" ca="1" si="4"/>
        <v/>
      </c>
    </row>
    <row r="270" spans="1:8" x14ac:dyDescent="0.35">
      <c r="A270" s="25"/>
      <c r="B270" s="15"/>
      <c r="C270" s="15"/>
      <c r="D270" s="15"/>
      <c r="E270" s="18"/>
      <c r="F270" s="15"/>
      <c r="G270" s="25"/>
      <c r="H270" s="11" t="str">
        <f t="shared" ca="1" si="4"/>
        <v/>
      </c>
    </row>
    <row r="271" spans="1:8" x14ac:dyDescent="0.35">
      <c r="A271" s="25"/>
      <c r="B271" s="15"/>
      <c r="C271" s="15"/>
      <c r="D271" s="15"/>
      <c r="E271" s="18"/>
      <c r="F271" s="15"/>
      <c r="G271" s="25"/>
      <c r="H271" s="11" t="str">
        <f t="shared" ca="1" si="4"/>
        <v/>
      </c>
    </row>
    <row r="272" spans="1:8" x14ac:dyDescent="0.35">
      <c r="A272" s="25"/>
      <c r="B272" s="15"/>
      <c r="C272" s="15"/>
      <c r="D272" s="15"/>
      <c r="E272" s="18"/>
      <c r="F272" s="15"/>
      <c r="G272" s="25"/>
      <c r="H272" s="11" t="str">
        <f t="shared" ca="1" si="4"/>
        <v/>
      </c>
    </row>
    <row r="273" spans="1:8" x14ac:dyDescent="0.35">
      <c r="A273" s="25"/>
      <c r="B273" s="15"/>
      <c r="C273" s="15"/>
      <c r="D273" s="15"/>
      <c r="E273" s="18"/>
      <c r="F273" s="15"/>
      <c r="G273" s="25"/>
      <c r="H273" s="11" t="str">
        <f t="shared" ca="1" si="4"/>
        <v/>
      </c>
    </row>
    <row r="274" spans="1:8" x14ac:dyDescent="0.35">
      <c r="A274" s="25"/>
      <c r="B274" s="15"/>
      <c r="C274" s="15"/>
      <c r="D274" s="15"/>
      <c r="E274" s="18"/>
      <c r="F274" s="15"/>
      <c r="G274" s="25"/>
      <c r="H274" s="11" t="str">
        <f t="shared" ca="1" si="4"/>
        <v/>
      </c>
    </row>
    <row r="275" spans="1:8" x14ac:dyDescent="0.35">
      <c r="A275" s="25"/>
      <c r="B275" s="15"/>
      <c r="C275" s="15"/>
      <c r="D275" s="15"/>
      <c r="E275" s="18"/>
      <c r="F275" s="15"/>
      <c r="G275" s="25"/>
      <c r="H275" s="11" t="str">
        <f t="shared" ca="1" si="4"/>
        <v/>
      </c>
    </row>
    <row r="276" spans="1:8" x14ac:dyDescent="0.35">
      <c r="A276" s="25"/>
      <c r="B276" s="15"/>
      <c r="C276" s="15"/>
      <c r="D276" s="15"/>
      <c r="E276" s="18"/>
      <c r="F276" s="15"/>
      <c r="G276" s="25"/>
      <c r="H276" s="11" t="str">
        <f t="shared" ca="1" si="4"/>
        <v/>
      </c>
    </row>
    <row r="277" spans="1:8" x14ac:dyDescent="0.35">
      <c r="A277" s="25"/>
      <c r="B277" s="15"/>
      <c r="C277" s="15"/>
      <c r="D277" s="15"/>
      <c r="E277" s="18"/>
      <c r="F277" s="15"/>
      <c r="G277" s="25"/>
      <c r="H277" s="11" t="str">
        <f t="shared" ca="1" si="4"/>
        <v/>
      </c>
    </row>
    <row r="278" spans="1:8" x14ac:dyDescent="0.35">
      <c r="A278" s="25"/>
      <c r="B278" s="15"/>
      <c r="C278" s="15"/>
      <c r="D278" s="15"/>
      <c r="E278" s="18"/>
      <c r="F278" s="15"/>
      <c r="G278" s="25"/>
      <c r="H278" s="11" t="str">
        <f t="shared" ca="1" si="4"/>
        <v/>
      </c>
    </row>
    <row r="279" spans="1:8" x14ac:dyDescent="0.35">
      <c r="A279" s="25"/>
      <c r="B279" s="15"/>
      <c r="C279" s="15"/>
      <c r="D279" s="15"/>
      <c r="E279" s="18"/>
      <c r="F279" s="15"/>
      <c r="G279" s="25"/>
      <c r="H279" s="11" t="str">
        <f t="shared" ca="1" si="4"/>
        <v/>
      </c>
    </row>
    <row r="280" spans="1:8" x14ac:dyDescent="0.35">
      <c r="A280" s="25"/>
      <c r="B280" s="15"/>
      <c r="C280" s="15"/>
      <c r="D280" s="15"/>
      <c r="E280" s="18"/>
      <c r="F280" s="15"/>
      <c r="G280" s="25"/>
      <c r="H280" s="11" t="str">
        <f t="shared" ca="1" si="4"/>
        <v/>
      </c>
    </row>
    <row r="281" spans="1:8" x14ac:dyDescent="0.35">
      <c r="A281" s="25"/>
      <c r="B281" s="15"/>
      <c r="C281" s="15"/>
      <c r="D281" s="15"/>
      <c r="E281" s="18"/>
      <c r="F281" s="15"/>
      <c r="G281" s="25"/>
      <c r="H281" s="11" t="str">
        <f t="shared" ca="1" si="4"/>
        <v/>
      </c>
    </row>
    <row r="282" spans="1:8" x14ac:dyDescent="0.35">
      <c r="A282" s="25"/>
      <c r="B282" s="15"/>
      <c r="C282" s="15"/>
      <c r="D282" s="15"/>
      <c r="E282" s="18"/>
      <c r="F282" s="15"/>
      <c r="G282" s="25"/>
      <c r="H282" s="11" t="str">
        <f t="shared" ca="1" si="4"/>
        <v/>
      </c>
    </row>
    <row r="283" spans="1:8" x14ac:dyDescent="0.35">
      <c r="A283" s="25"/>
      <c r="B283" s="15"/>
      <c r="C283" s="15"/>
      <c r="D283" s="15"/>
      <c r="E283" s="18"/>
      <c r="F283" s="15"/>
      <c r="G283" s="25"/>
      <c r="H283" s="11" t="str">
        <f t="shared" ca="1" si="4"/>
        <v/>
      </c>
    </row>
    <row r="284" spans="1:8" x14ac:dyDescent="0.35">
      <c r="A284" s="25"/>
      <c r="B284" s="15"/>
      <c r="C284" s="15"/>
      <c r="D284" s="15"/>
      <c r="E284" s="18"/>
      <c r="F284" s="15"/>
      <c r="G284" s="25"/>
      <c r="H284" s="11" t="str">
        <f t="shared" ca="1" si="4"/>
        <v/>
      </c>
    </row>
    <row r="285" spans="1:8" x14ac:dyDescent="0.35">
      <c r="A285" s="25"/>
      <c r="B285" s="15"/>
      <c r="C285" s="15"/>
      <c r="D285" s="15"/>
      <c r="E285" s="18"/>
      <c r="F285" s="15"/>
      <c r="G285" s="25"/>
      <c r="H285" s="11" t="str">
        <f t="shared" ca="1" si="4"/>
        <v/>
      </c>
    </row>
    <row r="286" spans="1:8" x14ac:dyDescent="0.35">
      <c r="A286" s="25"/>
      <c r="B286" s="15"/>
      <c r="C286" s="15"/>
      <c r="D286" s="15"/>
      <c r="E286" s="18"/>
      <c r="F286" s="15"/>
      <c r="G286" s="25"/>
      <c r="H286" s="11" t="str">
        <f t="shared" ca="1" si="4"/>
        <v/>
      </c>
    </row>
    <row r="287" spans="1:8" x14ac:dyDescent="0.35">
      <c r="A287" s="25"/>
      <c r="B287" s="15"/>
      <c r="C287" s="15"/>
      <c r="D287" s="15"/>
      <c r="E287" s="18"/>
      <c r="F287" s="15"/>
      <c r="G287" s="25"/>
      <c r="H287" s="11" t="str">
        <f t="shared" ca="1" si="4"/>
        <v/>
      </c>
    </row>
    <row r="288" spans="1:8" x14ac:dyDescent="0.35">
      <c r="A288" s="25"/>
      <c r="B288" s="15"/>
      <c r="C288" s="15"/>
      <c r="D288" s="15"/>
      <c r="E288" s="18"/>
      <c r="F288" s="15"/>
      <c r="G288" s="25"/>
      <c r="H288" s="11" t="str">
        <f t="shared" ca="1" si="4"/>
        <v/>
      </c>
    </row>
    <row r="289" spans="1:8" x14ac:dyDescent="0.35">
      <c r="A289" s="25"/>
      <c r="B289" s="15"/>
      <c r="C289" s="15"/>
      <c r="D289" s="15"/>
      <c r="E289" s="18"/>
      <c r="F289" s="15"/>
      <c r="G289" s="25"/>
      <c r="H289" s="11" t="str">
        <f t="shared" ca="1" si="4"/>
        <v/>
      </c>
    </row>
    <row r="290" spans="1:8" x14ac:dyDescent="0.35">
      <c r="A290" s="25"/>
      <c r="B290" s="15"/>
      <c r="C290" s="15"/>
      <c r="D290" s="15"/>
      <c r="E290" s="18"/>
      <c r="F290" s="15"/>
      <c r="G290" s="25"/>
      <c r="H290" s="11" t="str">
        <f t="shared" ca="1" si="4"/>
        <v/>
      </c>
    </row>
    <row r="291" spans="1:8" x14ac:dyDescent="0.35">
      <c r="A291" s="25"/>
      <c r="B291" s="15"/>
      <c r="C291" s="15"/>
      <c r="D291" s="15"/>
      <c r="E291" s="18"/>
      <c r="F291" s="15"/>
      <c r="G291" s="25"/>
      <c r="H291" s="11" t="str">
        <f t="shared" ca="1" si="4"/>
        <v/>
      </c>
    </row>
    <row r="292" spans="1:8" x14ac:dyDescent="0.35">
      <c r="A292" s="25"/>
      <c r="B292" s="15"/>
      <c r="C292" s="15"/>
      <c r="D292" s="15"/>
      <c r="E292" s="18"/>
      <c r="F292" s="15"/>
      <c r="G292" s="25"/>
      <c r="H292" s="11" t="str">
        <f t="shared" ca="1" si="4"/>
        <v/>
      </c>
    </row>
    <row r="293" spans="1:8" x14ac:dyDescent="0.35">
      <c r="A293" s="25"/>
      <c r="B293" s="15"/>
      <c r="C293" s="15"/>
      <c r="D293" s="15"/>
      <c r="E293" s="18"/>
      <c r="F293" s="15"/>
      <c r="G293" s="25"/>
      <c r="H293" s="11" t="str">
        <f t="shared" ca="1" si="4"/>
        <v/>
      </c>
    </row>
    <row r="294" spans="1:8" x14ac:dyDescent="0.35">
      <c r="A294" s="25"/>
      <c r="B294" s="15"/>
      <c r="C294" s="15"/>
      <c r="D294" s="15"/>
      <c r="E294" s="18"/>
      <c r="F294" s="15"/>
      <c r="G294" s="25"/>
      <c r="H294" s="11" t="str">
        <f t="shared" ca="1" si="4"/>
        <v/>
      </c>
    </row>
    <row r="295" spans="1:8" x14ac:dyDescent="0.35">
      <c r="A295" s="25"/>
      <c r="B295" s="15"/>
      <c r="C295" s="15"/>
      <c r="D295" s="15"/>
      <c r="E295" s="18"/>
      <c r="F295" s="15"/>
      <c r="G295" s="25"/>
      <c r="H295" s="11" t="str">
        <f t="shared" ca="1" si="4"/>
        <v/>
      </c>
    </row>
    <row r="296" spans="1:8" x14ac:dyDescent="0.35">
      <c r="A296" s="25"/>
      <c r="B296" s="15"/>
      <c r="C296" s="15"/>
      <c r="D296" s="15"/>
      <c r="E296" s="18"/>
      <c r="F296" s="15"/>
      <c r="G296" s="25"/>
      <c r="H296" s="11" t="str">
        <f t="shared" ca="1" si="4"/>
        <v/>
      </c>
    </row>
    <row r="297" spans="1:8" x14ac:dyDescent="0.35">
      <c r="A297" s="25"/>
      <c r="B297" s="15"/>
      <c r="C297" s="15"/>
      <c r="D297" s="15"/>
      <c r="E297" s="18"/>
      <c r="F297" s="15"/>
      <c r="G297" s="25"/>
      <c r="H297" s="11" t="str">
        <f t="shared" ca="1" si="4"/>
        <v/>
      </c>
    </row>
    <row r="298" spans="1:8" x14ac:dyDescent="0.35">
      <c r="A298" s="25"/>
      <c r="B298" s="15"/>
      <c r="C298" s="15"/>
      <c r="D298" s="15"/>
      <c r="E298" s="18"/>
      <c r="F298" s="15"/>
      <c r="G298" s="25"/>
      <c r="H298" s="11" t="str">
        <f t="shared" ca="1" si="4"/>
        <v/>
      </c>
    </row>
    <row r="299" spans="1:8" x14ac:dyDescent="0.35">
      <c r="A299" s="25"/>
      <c r="B299" s="15"/>
      <c r="C299" s="15"/>
      <c r="D299" s="15"/>
      <c r="E299" s="18"/>
      <c r="F299" s="15"/>
      <c r="G299" s="25"/>
      <c r="H299" s="11" t="str">
        <f t="shared" ca="1" si="4"/>
        <v/>
      </c>
    </row>
    <row r="300" spans="1:8" x14ac:dyDescent="0.35">
      <c r="A300" s="25"/>
      <c r="B300" s="15"/>
      <c r="C300" s="15"/>
      <c r="D300" s="15"/>
      <c r="E300" s="18"/>
      <c r="F300" s="15"/>
      <c r="G300" s="25"/>
      <c r="H300" s="11" t="str">
        <f t="shared" ca="1" si="4"/>
        <v/>
      </c>
    </row>
    <row r="301" spans="1:8" x14ac:dyDescent="0.35">
      <c r="A301" s="25"/>
      <c r="B301" s="15"/>
      <c r="C301" s="15"/>
      <c r="D301" s="15"/>
      <c r="E301" s="18"/>
      <c r="F301" s="15"/>
      <c r="G301" s="25"/>
      <c r="H301" s="11" t="str">
        <f t="shared" ca="1" si="4"/>
        <v/>
      </c>
    </row>
    <row r="302" spans="1:8" x14ac:dyDescent="0.35">
      <c r="A302" s="25"/>
      <c r="B302" s="15"/>
      <c r="C302" s="15"/>
      <c r="D302" s="15"/>
      <c r="E302" s="18"/>
      <c r="F302" s="15"/>
      <c r="G302" s="25"/>
      <c r="H302" s="11" t="str">
        <f t="shared" ca="1" si="4"/>
        <v/>
      </c>
    </row>
    <row r="303" spans="1:8" x14ac:dyDescent="0.35">
      <c r="A303" s="25"/>
      <c r="B303" s="15"/>
      <c r="C303" s="15"/>
      <c r="D303" s="15"/>
      <c r="E303" s="18"/>
      <c r="F303" s="15"/>
      <c r="G303" s="25"/>
      <c r="H303" s="11" t="str">
        <f t="shared" ca="1" si="4"/>
        <v/>
      </c>
    </row>
    <row r="304" spans="1:8" x14ac:dyDescent="0.35">
      <c r="A304" s="25"/>
      <c r="B304" s="15"/>
      <c r="C304" s="15"/>
      <c r="D304" s="15"/>
      <c r="E304" s="18"/>
      <c r="F304" s="15"/>
      <c r="G304" s="25"/>
      <c r="H304" s="11" t="str">
        <f t="shared" ca="1" si="4"/>
        <v/>
      </c>
    </row>
    <row r="305" spans="1:8" x14ac:dyDescent="0.35">
      <c r="A305" s="25"/>
      <c r="B305" s="15"/>
      <c r="C305" s="15"/>
      <c r="D305" s="15"/>
      <c r="E305" s="18"/>
      <c r="F305" s="15"/>
      <c r="G305" s="25"/>
      <c r="H305" s="11" t="str">
        <f t="shared" ca="1" si="4"/>
        <v/>
      </c>
    </row>
    <row r="306" spans="1:8" x14ac:dyDescent="0.35">
      <c r="A306" s="25"/>
      <c r="B306" s="15"/>
      <c r="C306" s="15"/>
      <c r="D306" s="15"/>
      <c r="E306" s="18"/>
      <c r="F306" s="15"/>
      <c r="G306" s="25"/>
      <c r="H306" s="11" t="str">
        <f t="shared" ca="1" si="4"/>
        <v/>
      </c>
    </row>
    <row r="307" spans="1:8" x14ac:dyDescent="0.35">
      <c r="A307" s="25"/>
      <c r="B307" s="15"/>
      <c r="C307" s="15"/>
      <c r="D307" s="15"/>
      <c r="E307" s="18"/>
      <c r="F307" s="15"/>
      <c r="G307" s="25"/>
      <c r="H307" s="11" t="str">
        <f t="shared" ca="1" si="4"/>
        <v/>
      </c>
    </row>
    <row r="308" spans="1:8" x14ac:dyDescent="0.35">
      <c r="A308" s="25"/>
      <c r="B308" s="15"/>
      <c r="C308" s="15"/>
      <c r="D308" s="15"/>
      <c r="E308" s="18"/>
      <c r="F308" s="15"/>
      <c r="G308" s="25"/>
      <c r="H308" s="11" t="str">
        <f t="shared" ca="1" si="4"/>
        <v/>
      </c>
    </row>
    <row r="309" spans="1:8" x14ac:dyDescent="0.35">
      <c r="A309" s="25"/>
      <c r="B309" s="15"/>
      <c r="C309" s="15"/>
      <c r="D309" s="15"/>
      <c r="E309" s="18"/>
      <c r="F309" s="15"/>
      <c r="G309" s="25"/>
      <c r="H309" s="11" t="str">
        <f t="shared" ca="1" si="4"/>
        <v/>
      </c>
    </row>
    <row r="310" spans="1:8" x14ac:dyDescent="0.35">
      <c r="A310" s="25"/>
      <c r="B310" s="15"/>
      <c r="C310" s="15"/>
      <c r="D310" s="15"/>
      <c r="E310" s="18"/>
      <c r="F310" s="15"/>
      <c r="G310" s="25"/>
      <c r="H310" s="11" t="str">
        <f t="shared" ca="1" si="4"/>
        <v/>
      </c>
    </row>
    <row r="311" spans="1:8" x14ac:dyDescent="0.35">
      <c r="A311" s="25"/>
      <c r="B311" s="15"/>
      <c r="C311" s="15"/>
      <c r="D311" s="15"/>
      <c r="E311" s="18"/>
      <c r="F311" s="15"/>
      <c r="G311" s="25"/>
      <c r="H311" s="11" t="str">
        <f t="shared" ca="1" si="4"/>
        <v/>
      </c>
    </row>
    <row r="312" spans="1:8" x14ac:dyDescent="0.35">
      <c r="A312" s="25"/>
      <c r="B312" s="15"/>
      <c r="C312" s="15"/>
      <c r="D312" s="15"/>
      <c r="E312" s="18"/>
      <c r="F312" s="15"/>
      <c r="G312" s="25"/>
      <c r="H312" s="11" t="str">
        <f t="shared" ca="1" si="4"/>
        <v/>
      </c>
    </row>
    <row r="313" spans="1:8" x14ac:dyDescent="0.35">
      <c r="A313" s="25"/>
      <c r="B313" s="15"/>
      <c r="C313" s="15"/>
      <c r="D313" s="15"/>
      <c r="E313" s="18"/>
      <c r="F313" s="15"/>
      <c r="G313" s="25"/>
      <c r="H313" s="11" t="str">
        <f t="shared" ca="1" si="4"/>
        <v/>
      </c>
    </row>
    <row r="314" spans="1:8" x14ac:dyDescent="0.35">
      <c r="A314" s="25"/>
      <c r="B314" s="15"/>
      <c r="C314" s="15"/>
      <c r="D314" s="15"/>
      <c r="E314" s="18"/>
      <c r="F314" s="15"/>
      <c r="G314" s="25"/>
      <c r="H314" s="11" t="str">
        <f t="shared" ca="1" si="4"/>
        <v/>
      </c>
    </row>
    <row r="315" spans="1:8" x14ac:dyDescent="0.35">
      <c r="A315" s="25"/>
      <c r="B315" s="15"/>
      <c r="C315" s="15"/>
      <c r="D315" s="15"/>
      <c r="E315" s="18"/>
      <c r="F315" s="15"/>
      <c r="G315" s="25"/>
      <c r="H315" s="11" t="str">
        <f t="shared" ca="1" si="4"/>
        <v/>
      </c>
    </row>
    <row r="316" spans="1:8" x14ac:dyDescent="0.35">
      <c r="A316" s="25"/>
      <c r="B316" s="15"/>
      <c r="C316" s="15"/>
      <c r="D316" s="15"/>
      <c r="E316" s="18"/>
      <c r="F316" s="15"/>
      <c r="G316" s="25"/>
      <c r="H316" s="11" t="str">
        <f t="shared" ca="1" si="4"/>
        <v/>
      </c>
    </row>
    <row r="317" spans="1:8" x14ac:dyDescent="0.35">
      <c r="A317" s="25"/>
      <c r="B317" s="15"/>
      <c r="C317" s="15"/>
      <c r="D317" s="15"/>
      <c r="E317" s="18"/>
      <c r="F317" s="15"/>
      <c r="G317" s="25"/>
      <c r="H317" s="11" t="str">
        <f t="shared" ca="1" si="4"/>
        <v/>
      </c>
    </row>
    <row r="318" spans="1:8" x14ac:dyDescent="0.35">
      <c r="A318" s="25"/>
      <c r="B318" s="15"/>
      <c r="C318" s="15"/>
      <c r="D318" s="15"/>
      <c r="E318" s="18"/>
      <c r="F318" s="15"/>
      <c r="G318" s="25"/>
      <c r="H318" s="11" t="str">
        <f t="shared" ca="1" si="4"/>
        <v/>
      </c>
    </row>
    <row r="319" spans="1:8" x14ac:dyDescent="0.35">
      <c r="A319" s="25"/>
      <c r="B319" s="15"/>
      <c r="C319" s="15"/>
      <c r="D319" s="15"/>
      <c r="E319" s="18"/>
      <c r="F319" s="15"/>
      <c r="G319" s="25"/>
      <c r="H319" s="11" t="str">
        <f t="shared" ca="1" si="4"/>
        <v/>
      </c>
    </row>
    <row r="320" spans="1:8" x14ac:dyDescent="0.35">
      <c r="A320" s="25"/>
      <c r="B320" s="15"/>
      <c r="C320" s="15"/>
      <c r="D320" s="15"/>
      <c r="E320" s="18"/>
      <c r="F320" s="15"/>
      <c r="G320" s="25"/>
      <c r="H320" s="11" t="str">
        <f t="shared" ca="1" si="4"/>
        <v/>
      </c>
    </row>
    <row r="321" spans="1:8" x14ac:dyDescent="0.35">
      <c r="A321" s="25"/>
      <c r="B321" s="15"/>
      <c r="C321" s="15"/>
      <c r="D321" s="15"/>
      <c r="E321" s="18"/>
      <c r="F321" s="15"/>
      <c r="G321" s="25"/>
      <c r="H321" s="11" t="str">
        <f t="shared" ca="1" si="4"/>
        <v/>
      </c>
    </row>
    <row r="322" spans="1:8" x14ac:dyDescent="0.35">
      <c r="A322" s="25"/>
      <c r="B322" s="15"/>
      <c r="C322" s="15"/>
      <c r="D322" s="15"/>
      <c r="E322" s="18"/>
      <c r="F322" s="15"/>
      <c r="G322" s="25"/>
      <c r="H322" s="11" t="str">
        <f t="shared" ca="1" si="4"/>
        <v/>
      </c>
    </row>
    <row r="323" spans="1:8" x14ac:dyDescent="0.35">
      <c r="A323" s="25"/>
      <c r="B323" s="15"/>
      <c r="C323" s="15"/>
      <c r="D323" s="15"/>
      <c r="E323" s="18"/>
      <c r="F323" s="15"/>
      <c r="G323" s="25"/>
      <c r="H323" s="11" t="str">
        <f t="shared" ca="1" si="4"/>
        <v/>
      </c>
    </row>
    <row r="324" spans="1:8" x14ac:dyDescent="0.35">
      <c r="A324" s="25"/>
      <c r="B324" s="15"/>
      <c r="C324" s="15"/>
      <c r="D324" s="15"/>
      <c r="E324" s="18"/>
      <c r="F324" s="15"/>
      <c r="G324" s="25"/>
      <c r="H324" s="11" t="str">
        <f t="shared" ca="1" si="4"/>
        <v/>
      </c>
    </row>
    <row r="325" spans="1:8" x14ac:dyDescent="0.35">
      <c r="A325" s="25"/>
      <c r="B325" s="15"/>
      <c r="C325" s="15"/>
      <c r="D325" s="15"/>
      <c r="E325" s="18"/>
      <c r="F325" s="15"/>
      <c r="G325" s="25"/>
      <c r="H325" s="11" t="str">
        <f t="shared" ref="H325:H388" ca="1" si="5">IF(AND(F325="Owed",ISNUMBER(G325)),IF(G325&lt;TODAY(),"OVERDUE",IF(G325-TODAY()&lt;=30,"Due in "&amp;(G325-TODAY())&amp;" days","")),"")</f>
        <v/>
      </c>
    </row>
    <row r="326" spans="1:8" x14ac:dyDescent="0.35">
      <c r="A326" s="25"/>
      <c r="B326" s="15"/>
      <c r="C326" s="15"/>
      <c r="D326" s="15"/>
      <c r="E326" s="18"/>
      <c r="F326" s="15"/>
      <c r="G326" s="25"/>
      <c r="H326" s="11" t="str">
        <f t="shared" ca="1" si="5"/>
        <v/>
      </c>
    </row>
    <row r="327" spans="1:8" x14ac:dyDescent="0.35">
      <c r="A327" s="25"/>
      <c r="B327" s="15"/>
      <c r="C327" s="15"/>
      <c r="D327" s="15"/>
      <c r="E327" s="18"/>
      <c r="F327" s="15"/>
      <c r="G327" s="25"/>
      <c r="H327" s="11" t="str">
        <f t="shared" ca="1" si="5"/>
        <v/>
      </c>
    </row>
    <row r="328" spans="1:8" x14ac:dyDescent="0.35">
      <c r="A328" s="25"/>
      <c r="B328" s="15"/>
      <c r="C328" s="15"/>
      <c r="D328" s="15"/>
      <c r="E328" s="18"/>
      <c r="F328" s="15"/>
      <c r="G328" s="25"/>
      <c r="H328" s="11" t="str">
        <f t="shared" ca="1" si="5"/>
        <v/>
      </c>
    </row>
    <row r="329" spans="1:8" x14ac:dyDescent="0.35">
      <c r="A329" s="25"/>
      <c r="B329" s="15"/>
      <c r="C329" s="15"/>
      <c r="D329" s="15"/>
      <c r="E329" s="18"/>
      <c r="F329" s="15"/>
      <c r="G329" s="25"/>
      <c r="H329" s="11" t="str">
        <f t="shared" ca="1" si="5"/>
        <v/>
      </c>
    </row>
    <row r="330" spans="1:8" x14ac:dyDescent="0.35">
      <c r="A330" s="25"/>
      <c r="B330" s="15"/>
      <c r="C330" s="15"/>
      <c r="D330" s="15"/>
      <c r="E330" s="18"/>
      <c r="F330" s="15"/>
      <c r="G330" s="25"/>
      <c r="H330" s="11" t="str">
        <f t="shared" ca="1" si="5"/>
        <v/>
      </c>
    </row>
    <row r="331" spans="1:8" x14ac:dyDescent="0.35">
      <c r="A331" s="25"/>
      <c r="B331" s="15"/>
      <c r="C331" s="15"/>
      <c r="D331" s="15"/>
      <c r="E331" s="18"/>
      <c r="F331" s="15"/>
      <c r="G331" s="25"/>
      <c r="H331" s="11" t="str">
        <f t="shared" ca="1" si="5"/>
        <v/>
      </c>
    </row>
    <row r="332" spans="1:8" x14ac:dyDescent="0.35">
      <c r="A332" s="25"/>
      <c r="B332" s="15"/>
      <c r="C332" s="15"/>
      <c r="D332" s="15"/>
      <c r="E332" s="18"/>
      <c r="F332" s="15"/>
      <c r="G332" s="25"/>
      <c r="H332" s="11" t="str">
        <f t="shared" ca="1" si="5"/>
        <v/>
      </c>
    </row>
    <row r="333" spans="1:8" x14ac:dyDescent="0.35">
      <c r="A333" s="25"/>
      <c r="B333" s="15"/>
      <c r="C333" s="15"/>
      <c r="D333" s="15"/>
      <c r="E333" s="18"/>
      <c r="F333" s="15"/>
      <c r="G333" s="25"/>
      <c r="H333" s="11" t="str">
        <f t="shared" ca="1" si="5"/>
        <v/>
      </c>
    </row>
    <row r="334" spans="1:8" x14ac:dyDescent="0.35">
      <c r="A334" s="25"/>
      <c r="B334" s="15"/>
      <c r="C334" s="15"/>
      <c r="D334" s="15"/>
      <c r="E334" s="18"/>
      <c r="F334" s="15"/>
      <c r="G334" s="25"/>
      <c r="H334" s="11" t="str">
        <f t="shared" ca="1" si="5"/>
        <v/>
      </c>
    </row>
    <row r="335" spans="1:8" x14ac:dyDescent="0.35">
      <c r="A335" s="25"/>
      <c r="B335" s="15"/>
      <c r="C335" s="15"/>
      <c r="D335" s="15"/>
      <c r="E335" s="18"/>
      <c r="F335" s="15"/>
      <c r="G335" s="25"/>
      <c r="H335" s="11" t="str">
        <f t="shared" ca="1" si="5"/>
        <v/>
      </c>
    </row>
    <row r="336" spans="1:8" x14ac:dyDescent="0.35">
      <c r="A336" s="25"/>
      <c r="B336" s="15"/>
      <c r="C336" s="15"/>
      <c r="D336" s="15"/>
      <c r="E336" s="18"/>
      <c r="F336" s="15"/>
      <c r="G336" s="25"/>
      <c r="H336" s="11" t="str">
        <f t="shared" ca="1" si="5"/>
        <v/>
      </c>
    </row>
    <row r="337" spans="1:8" x14ac:dyDescent="0.35">
      <c r="A337" s="25"/>
      <c r="B337" s="15"/>
      <c r="C337" s="15"/>
      <c r="D337" s="15"/>
      <c r="E337" s="18"/>
      <c r="F337" s="15"/>
      <c r="G337" s="25"/>
      <c r="H337" s="11" t="str">
        <f t="shared" ca="1" si="5"/>
        <v/>
      </c>
    </row>
    <row r="338" spans="1:8" x14ac:dyDescent="0.35">
      <c r="A338" s="25"/>
      <c r="B338" s="15"/>
      <c r="C338" s="15"/>
      <c r="D338" s="15"/>
      <c r="E338" s="18"/>
      <c r="F338" s="15"/>
      <c r="G338" s="25"/>
      <c r="H338" s="11" t="str">
        <f t="shared" ca="1" si="5"/>
        <v/>
      </c>
    </row>
    <row r="339" spans="1:8" x14ac:dyDescent="0.35">
      <c r="A339" s="25"/>
      <c r="B339" s="15"/>
      <c r="C339" s="15"/>
      <c r="D339" s="15"/>
      <c r="E339" s="18"/>
      <c r="F339" s="15"/>
      <c r="G339" s="25"/>
      <c r="H339" s="11" t="str">
        <f t="shared" ca="1" si="5"/>
        <v/>
      </c>
    </row>
    <row r="340" spans="1:8" x14ac:dyDescent="0.35">
      <c r="A340" s="25"/>
      <c r="B340" s="15"/>
      <c r="C340" s="15"/>
      <c r="D340" s="15"/>
      <c r="E340" s="18"/>
      <c r="F340" s="15"/>
      <c r="G340" s="25"/>
      <c r="H340" s="11" t="str">
        <f t="shared" ca="1" si="5"/>
        <v/>
      </c>
    </row>
    <row r="341" spans="1:8" x14ac:dyDescent="0.35">
      <c r="A341" s="25"/>
      <c r="B341" s="15"/>
      <c r="C341" s="15"/>
      <c r="D341" s="15"/>
      <c r="E341" s="18"/>
      <c r="F341" s="15"/>
      <c r="G341" s="25"/>
      <c r="H341" s="11" t="str">
        <f t="shared" ca="1" si="5"/>
        <v/>
      </c>
    </row>
    <row r="342" spans="1:8" x14ac:dyDescent="0.35">
      <c r="A342" s="25"/>
      <c r="B342" s="15"/>
      <c r="C342" s="15"/>
      <c r="D342" s="15"/>
      <c r="E342" s="18"/>
      <c r="F342" s="15"/>
      <c r="G342" s="25"/>
      <c r="H342" s="11" t="str">
        <f t="shared" ca="1" si="5"/>
        <v/>
      </c>
    </row>
    <row r="343" spans="1:8" x14ac:dyDescent="0.35">
      <c r="A343" s="25"/>
      <c r="B343" s="15"/>
      <c r="C343" s="15"/>
      <c r="D343" s="15"/>
      <c r="E343" s="18"/>
      <c r="F343" s="15"/>
      <c r="G343" s="25"/>
      <c r="H343" s="11" t="str">
        <f t="shared" ca="1" si="5"/>
        <v/>
      </c>
    </row>
    <row r="344" spans="1:8" x14ac:dyDescent="0.35">
      <c r="A344" s="25"/>
      <c r="B344" s="15"/>
      <c r="C344" s="15"/>
      <c r="D344" s="15"/>
      <c r="E344" s="18"/>
      <c r="F344" s="15"/>
      <c r="G344" s="25"/>
      <c r="H344" s="11" t="str">
        <f t="shared" ca="1" si="5"/>
        <v/>
      </c>
    </row>
    <row r="345" spans="1:8" x14ac:dyDescent="0.35">
      <c r="A345" s="25"/>
      <c r="B345" s="15"/>
      <c r="C345" s="15"/>
      <c r="D345" s="15"/>
      <c r="E345" s="18"/>
      <c r="F345" s="15"/>
      <c r="G345" s="25"/>
      <c r="H345" s="11" t="str">
        <f t="shared" ca="1" si="5"/>
        <v/>
      </c>
    </row>
    <row r="346" spans="1:8" x14ac:dyDescent="0.35">
      <c r="A346" s="25"/>
      <c r="B346" s="15"/>
      <c r="C346" s="15"/>
      <c r="D346" s="15"/>
      <c r="E346" s="18"/>
      <c r="F346" s="15"/>
      <c r="G346" s="25"/>
      <c r="H346" s="11" t="str">
        <f t="shared" ca="1" si="5"/>
        <v/>
      </c>
    </row>
    <row r="347" spans="1:8" x14ac:dyDescent="0.35">
      <c r="A347" s="25"/>
      <c r="B347" s="15"/>
      <c r="C347" s="15"/>
      <c r="D347" s="15"/>
      <c r="E347" s="18"/>
      <c r="F347" s="15"/>
      <c r="G347" s="25"/>
      <c r="H347" s="11" t="str">
        <f t="shared" ca="1" si="5"/>
        <v/>
      </c>
    </row>
    <row r="348" spans="1:8" x14ac:dyDescent="0.35">
      <c r="A348" s="25"/>
      <c r="B348" s="15"/>
      <c r="C348" s="15"/>
      <c r="D348" s="15"/>
      <c r="E348" s="18"/>
      <c r="F348" s="15"/>
      <c r="G348" s="25"/>
      <c r="H348" s="11" t="str">
        <f t="shared" ca="1" si="5"/>
        <v/>
      </c>
    </row>
    <row r="349" spans="1:8" x14ac:dyDescent="0.35">
      <c r="A349" s="25"/>
      <c r="B349" s="15"/>
      <c r="C349" s="15"/>
      <c r="D349" s="15"/>
      <c r="E349" s="18"/>
      <c r="F349" s="15"/>
      <c r="G349" s="25"/>
      <c r="H349" s="11" t="str">
        <f t="shared" ca="1" si="5"/>
        <v/>
      </c>
    </row>
    <row r="350" spans="1:8" x14ac:dyDescent="0.35">
      <c r="A350" s="25"/>
      <c r="B350" s="15"/>
      <c r="C350" s="15"/>
      <c r="D350" s="15"/>
      <c r="E350" s="18"/>
      <c r="F350" s="15"/>
      <c r="G350" s="25"/>
      <c r="H350" s="11" t="str">
        <f t="shared" ca="1" si="5"/>
        <v/>
      </c>
    </row>
    <row r="351" spans="1:8" x14ac:dyDescent="0.35">
      <c r="A351" s="25"/>
      <c r="B351" s="15"/>
      <c r="C351" s="15"/>
      <c r="D351" s="15"/>
      <c r="E351" s="18"/>
      <c r="F351" s="15"/>
      <c r="G351" s="25"/>
      <c r="H351" s="11" t="str">
        <f t="shared" ca="1" si="5"/>
        <v/>
      </c>
    </row>
    <row r="352" spans="1:8" x14ac:dyDescent="0.35">
      <c r="A352" s="25"/>
      <c r="B352" s="15"/>
      <c r="C352" s="15"/>
      <c r="D352" s="15"/>
      <c r="E352" s="18"/>
      <c r="F352" s="15"/>
      <c r="G352" s="25"/>
      <c r="H352" s="11" t="str">
        <f t="shared" ca="1" si="5"/>
        <v/>
      </c>
    </row>
    <row r="353" spans="1:8" x14ac:dyDescent="0.35">
      <c r="A353" s="25"/>
      <c r="B353" s="15"/>
      <c r="C353" s="15"/>
      <c r="D353" s="15"/>
      <c r="E353" s="18"/>
      <c r="F353" s="15"/>
      <c r="G353" s="25"/>
      <c r="H353" s="11" t="str">
        <f t="shared" ca="1" si="5"/>
        <v/>
      </c>
    </row>
    <row r="354" spans="1:8" x14ac:dyDescent="0.35">
      <c r="A354" s="25"/>
      <c r="B354" s="15"/>
      <c r="C354" s="15"/>
      <c r="D354" s="15"/>
      <c r="E354" s="18"/>
      <c r="F354" s="15"/>
      <c r="G354" s="25"/>
      <c r="H354" s="11" t="str">
        <f t="shared" ca="1" si="5"/>
        <v/>
      </c>
    </row>
    <row r="355" spans="1:8" x14ac:dyDescent="0.35">
      <c r="A355" s="25"/>
      <c r="B355" s="15"/>
      <c r="C355" s="15"/>
      <c r="D355" s="15"/>
      <c r="E355" s="18"/>
      <c r="F355" s="15"/>
      <c r="G355" s="25"/>
      <c r="H355" s="11" t="str">
        <f t="shared" ca="1" si="5"/>
        <v/>
      </c>
    </row>
    <row r="356" spans="1:8" x14ac:dyDescent="0.35">
      <c r="A356" s="25"/>
      <c r="B356" s="15"/>
      <c r="C356" s="15"/>
      <c r="D356" s="15"/>
      <c r="E356" s="18"/>
      <c r="F356" s="15"/>
      <c r="G356" s="25"/>
      <c r="H356" s="11" t="str">
        <f t="shared" ca="1" si="5"/>
        <v/>
      </c>
    </row>
    <row r="357" spans="1:8" x14ac:dyDescent="0.35">
      <c r="A357" s="25"/>
      <c r="B357" s="15"/>
      <c r="C357" s="15"/>
      <c r="D357" s="15"/>
      <c r="E357" s="18"/>
      <c r="F357" s="15"/>
      <c r="G357" s="25"/>
      <c r="H357" s="11" t="str">
        <f t="shared" ca="1" si="5"/>
        <v/>
      </c>
    </row>
    <row r="358" spans="1:8" x14ac:dyDescent="0.35">
      <c r="A358" s="25"/>
      <c r="B358" s="15"/>
      <c r="C358" s="15"/>
      <c r="D358" s="15"/>
      <c r="E358" s="18"/>
      <c r="F358" s="15"/>
      <c r="G358" s="25"/>
      <c r="H358" s="11" t="str">
        <f t="shared" ca="1" si="5"/>
        <v/>
      </c>
    </row>
    <row r="359" spans="1:8" x14ac:dyDescent="0.35">
      <c r="A359" s="25"/>
      <c r="B359" s="15"/>
      <c r="C359" s="15"/>
      <c r="D359" s="15"/>
      <c r="E359" s="18"/>
      <c r="F359" s="15"/>
      <c r="G359" s="25"/>
      <c r="H359" s="11" t="str">
        <f t="shared" ca="1" si="5"/>
        <v/>
      </c>
    </row>
    <row r="360" spans="1:8" x14ac:dyDescent="0.35">
      <c r="A360" s="25"/>
      <c r="B360" s="15"/>
      <c r="C360" s="15"/>
      <c r="D360" s="15"/>
      <c r="E360" s="18"/>
      <c r="F360" s="15"/>
      <c r="G360" s="25"/>
      <c r="H360" s="11" t="str">
        <f t="shared" ca="1" si="5"/>
        <v/>
      </c>
    </row>
    <row r="361" spans="1:8" x14ac:dyDescent="0.35">
      <c r="A361" s="25"/>
      <c r="B361" s="15"/>
      <c r="C361" s="15"/>
      <c r="D361" s="15"/>
      <c r="E361" s="18"/>
      <c r="F361" s="15"/>
      <c r="G361" s="25"/>
      <c r="H361" s="11" t="str">
        <f t="shared" ca="1" si="5"/>
        <v/>
      </c>
    </row>
    <row r="362" spans="1:8" x14ac:dyDescent="0.35">
      <c r="A362" s="25"/>
      <c r="B362" s="15"/>
      <c r="C362" s="15"/>
      <c r="D362" s="15"/>
      <c r="E362" s="18"/>
      <c r="F362" s="15"/>
      <c r="G362" s="25"/>
      <c r="H362" s="11" t="str">
        <f t="shared" ca="1" si="5"/>
        <v/>
      </c>
    </row>
    <row r="363" spans="1:8" x14ac:dyDescent="0.35">
      <c r="A363" s="25"/>
      <c r="B363" s="15"/>
      <c r="C363" s="15"/>
      <c r="D363" s="15"/>
      <c r="E363" s="18"/>
      <c r="F363" s="15"/>
      <c r="G363" s="25"/>
      <c r="H363" s="11" t="str">
        <f t="shared" ca="1" si="5"/>
        <v/>
      </c>
    </row>
    <row r="364" spans="1:8" x14ac:dyDescent="0.35">
      <c r="A364" s="25"/>
      <c r="B364" s="15"/>
      <c r="C364" s="15"/>
      <c r="D364" s="15"/>
      <c r="E364" s="18"/>
      <c r="F364" s="15"/>
      <c r="G364" s="25"/>
      <c r="H364" s="11" t="str">
        <f t="shared" ca="1" si="5"/>
        <v/>
      </c>
    </row>
    <row r="365" spans="1:8" x14ac:dyDescent="0.35">
      <c r="A365" s="25"/>
      <c r="B365" s="15"/>
      <c r="C365" s="15"/>
      <c r="D365" s="15"/>
      <c r="E365" s="18"/>
      <c r="F365" s="15"/>
      <c r="G365" s="25"/>
      <c r="H365" s="11" t="str">
        <f t="shared" ca="1" si="5"/>
        <v/>
      </c>
    </row>
    <row r="366" spans="1:8" x14ac:dyDescent="0.35">
      <c r="A366" s="25"/>
      <c r="B366" s="15"/>
      <c r="C366" s="15"/>
      <c r="D366" s="15"/>
      <c r="E366" s="18"/>
      <c r="F366" s="15"/>
      <c r="G366" s="25"/>
      <c r="H366" s="11" t="str">
        <f t="shared" ca="1" si="5"/>
        <v/>
      </c>
    </row>
    <row r="367" spans="1:8" x14ac:dyDescent="0.35">
      <c r="A367" s="25"/>
      <c r="B367" s="15"/>
      <c r="C367" s="15"/>
      <c r="D367" s="15"/>
      <c r="E367" s="18"/>
      <c r="F367" s="15"/>
      <c r="G367" s="25"/>
      <c r="H367" s="11" t="str">
        <f t="shared" ca="1" si="5"/>
        <v/>
      </c>
    </row>
    <row r="368" spans="1:8" x14ac:dyDescent="0.35">
      <c r="A368" s="25"/>
      <c r="B368" s="15"/>
      <c r="C368" s="15"/>
      <c r="D368" s="15"/>
      <c r="E368" s="18"/>
      <c r="F368" s="15"/>
      <c r="G368" s="25"/>
      <c r="H368" s="11" t="str">
        <f t="shared" ca="1" si="5"/>
        <v/>
      </c>
    </row>
    <row r="369" spans="1:8" x14ac:dyDescent="0.35">
      <c r="A369" s="25"/>
      <c r="B369" s="15"/>
      <c r="C369" s="15"/>
      <c r="D369" s="15"/>
      <c r="E369" s="18"/>
      <c r="F369" s="15"/>
      <c r="G369" s="25"/>
      <c r="H369" s="11" t="str">
        <f t="shared" ca="1" si="5"/>
        <v/>
      </c>
    </row>
    <row r="370" spans="1:8" x14ac:dyDescent="0.35">
      <c r="A370" s="25"/>
      <c r="B370" s="15"/>
      <c r="C370" s="15"/>
      <c r="D370" s="15"/>
      <c r="E370" s="18"/>
      <c r="F370" s="15"/>
      <c r="G370" s="25"/>
      <c r="H370" s="11" t="str">
        <f t="shared" ca="1" si="5"/>
        <v/>
      </c>
    </row>
    <row r="371" spans="1:8" x14ac:dyDescent="0.35">
      <c r="A371" s="25"/>
      <c r="B371" s="15"/>
      <c r="C371" s="15"/>
      <c r="D371" s="15"/>
      <c r="E371" s="18"/>
      <c r="F371" s="15"/>
      <c r="G371" s="25"/>
      <c r="H371" s="11" t="str">
        <f t="shared" ca="1" si="5"/>
        <v/>
      </c>
    </row>
    <row r="372" spans="1:8" x14ac:dyDescent="0.35">
      <c r="A372" s="25"/>
      <c r="B372" s="15"/>
      <c r="C372" s="15"/>
      <c r="D372" s="15"/>
      <c r="E372" s="18"/>
      <c r="F372" s="15"/>
      <c r="G372" s="25"/>
      <c r="H372" s="11" t="str">
        <f t="shared" ca="1" si="5"/>
        <v/>
      </c>
    </row>
    <row r="373" spans="1:8" x14ac:dyDescent="0.35">
      <c r="A373" s="25"/>
      <c r="B373" s="15"/>
      <c r="C373" s="15"/>
      <c r="D373" s="15"/>
      <c r="E373" s="18"/>
      <c r="F373" s="15"/>
      <c r="G373" s="25"/>
      <c r="H373" s="11" t="str">
        <f t="shared" ca="1" si="5"/>
        <v/>
      </c>
    </row>
    <row r="374" spans="1:8" x14ac:dyDescent="0.35">
      <c r="A374" s="25"/>
      <c r="B374" s="15"/>
      <c r="C374" s="15"/>
      <c r="D374" s="15"/>
      <c r="E374" s="18"/>
      <c r="F374" s="15"/>
      <c r="G374" s="25"/>
      <c r="H374" s="11" t="str">
        <f t="shared" ca="1" si="5"/>
        <v/>
      </c>
    </row>
    <row r="375" spans="1:8" x14ac:dyDescent="0.35">
      <c r="A375" s="25"/>
      <c r="B375" s="15"/>
      <c r="C375" s="15"/>
      <c r="D375" s="15"/>
      <c r="E375" s="18"/>
      <c r="F375" s="15"/>
      <c r="G375" s="25"/>
      <c r="H375" s="11" t="str">
        <f t="shared" ca="1" si="5"/>
        <v/>
      </c>
    </row>
    <row r="376" spans="1:8" x14ac:dyDescent="0.35">
      <c r="A376" s="25"/>
      <c r="B376" s="15"/>
      <c r="C376" s="15"/>
      <c r="D376" s="15"/>
      <c r="E376" s="18"/>
      <c r="F376" s="15"/>
      <c r="G376" s="25"/>
      <c r="H376" s="11" t="str">
        <f t="shared" ca="1" si="5"/>
        <v/>
      </c>
    </row>
    <row r="377" spans="1:8" x14ac:dyDescent="0.35">
      <c r="A377" s="25"/>
      <c r="B377" s="15"/>
      <c r="C377" s="15"/>
      <c r="D377" s="15"/>
      <c r="E377" s="18"/>
      <c r="F377" s="15"/>
      <c r="G377" s="25"/>
      <c r="H377" s="11" t="str">
        <f t="shared" ca="1" si="5"/>
        <v/>
      </c>
    </row>
    <row r="378" spans="1:8" x14ac:dyDescent="0.35">
      <c r="A378" s="25"/>
      <c r="B378" s="15"/>
      <c r="C378" s="15"/>
      <c r="D378" s="15"/>
      <c r="E378" s="18"/>
      <c r="F378" s="15"/>
      <c r="G378" s="25"/>
      <c r="H378" s="11" t="str">
        <f t="shared" ca="1" si="5"/>
        <v/>
      </c>
    </row>
    <row r="379" spans="1:8" x14ac:dyDescent="0.35">
      <c r="A379" s="25"/>
      <c r="B379" s="15"/>
      <c r="C379" s="15"/>
      <c r="D379" s="15"/>
      <c r="E379" s="18"/>
      <c r="F379" s="15"/>
      <c r="G379" s="25"/>
      <c r="H379" s="11" t="str">
        <f t="shared" ca="1" si="5"/>
        <v/>
      </c>
    </row>
    <row r="380" spans="1:8" x14ac:dyDescent="0.35">
      <c r="A380" s="25"/>
      <c r="B380" s="15"/>
      <c r="C380" s="15"/>
      <c r="D380" s="15"/>
      <c r="E380" s="18"/>
      <c r="F380" s="15"/>
      <c r="G380" s="25"/>
      <c r="H380" s="11" t="str">
        <f t="shared" ca="1" si="5"/>
        <v/>
      </c>
    </row>
    <row r="381" spans="1:8" x14ac:dyDescent="0.35">
      <c r="A381" s="25"/>
      <c r="B381" s="15"/>
      <c r="C381" s="15"/>
      <c r="D381" s="15"/>
      <c r="E381" s="18"/>
      <c r="F381" s="15"/>
      <c r="G381" s="25"/>
      <c r="H381" s="11" t="str">
        <f t="shared" ca="1" si="5"/>
        <v/>
      </c>
    </row>
    <row r="382" spans="1:8" x14ac:dyDescent="0.35">
      <c r="A382" s="25"/>
      <c r="B382" s="15"/>
      <c r="C382" s="15"/>
      <c r="D382" s="15"/>
      <c r="E382" s="18"/>
      <c r="F382" s="15"/>
      <c r="G382" s="25"/>
      <c r="H382" s="11" t="str">
        <f t="shared" ca="1" si="5"/>
        <v/>
      </c>
    </row>
    <row r="383" spans="1:8" x14ac:dyDescent="0.35">
      <c r="A383" s="25"/>
      <c r="B383" s="15"/>
      <c r="C383" s="15"/>
      <c r="D383" s="15"/>
      <c r="E383" s="18"/>
      <c r="F383" s="15"/>
      <c r="G383" s="25"/>
      <c r="H383" s="11" t="str">
        <f t="shared" ca="1" si="5"/>
        <v/>
      </c>
    </row>
    <row r="384" spans="1:8" x14ac:dyDescent="0.35">
      <c r="A384" s="25"/>
      <c r="B384" s="15"/>
      <c r="C384" s="15"/>
      <c r="D384" s="15"/>
      <c r="E384" s="18"/>
      <c r="F384" s="15"/>
      <c r="G384" s="25"/>
      <c r="H384" s="11" t="str">
        <f t="shared" ca="1" si="5"/>
        <v/>
      </c>
    </row>
    <row r="385" spans="1:8" x14ac:dyDescent="0.35">
      <c r="A385" s="25"/>
      <c r="B385" s="15"/>
      <c r="C385" s="15"/>
      <c r="D385" s="15"/>
      <c r="E385" s="18"/>
      <c r="F385" s="15"/>
      <c r="G385" s="25"/>
      <c r="H385" s="11" t="str">
        <f t="shared" ca="1" si="5"/>
        <v/>
      </c>
    </row>
    <row r="386" spans="1:8" x14ac:dyDescent="0.35">
      <c r="A386" s="25"/>
      <c r="B386" s="15"/>
      <c r="C386" s="15"/>
      <c r="D386" s="15"/>
      <c r="E386" s="18"/>
      <c r="F386" s="15"/>
      <c r="G386" s="25"/>
      <c r="H386" s="11" t="str">
        <f t="shared" ca="1" si="5"/>
        <v/>
      </c>
    </row>
    <row r="387" spans="1:8" x14ac:dyDescent="0.35">
      <c r="A387" s="25"/>
      <c r="B387" s="15"/>
      <c r="C387" s="15"/>
      <c r="D387" s="15"/>
      <c r="E387" s="18"/>
      <c r="F387" s="15"/>
      <c r="G387" s="25"/>
      <c r="H387" s="11" t="str">
        <f t="shared" ca="1" si="5"/>
        <v/>
      </c>
    </row>
    <row r="388" spans="1:8" x14ac:dyDescent="0.35">
      <c r="A388" s="25"/>
      <c r="B388" s="15"/>
      <c r="C388" s="15"/>
      <c r="D388" s="15"/>
      <c r="E388" s="18"/>
      <c r="F388" s="15"/>
      <c r="G388" s="25"/>
      <c r="H388" s="11" t="str">
        <f t="shared" ca="1" si="5"/>
        <v/>
      </c>
    </row>
    <row r="389" spans="1:8" x14ac:dyDescent="0.35">
      <c r="A389" s="25"/>
      <c r="B389" s="15"/>
      <c r="C389" s="15"/>
      <c r="D389" s="15"/>
      <c r="E389" s="18"/>
      <c r="F389" s="15"/>
      <c r="G389" s="25"/>
      <c r="H389" s="11" t="str">
        <f t="shared" ref="H389:H452" ca="1" si="6">IF(AND(F389="Owed",ISNUMBER(G389)),IF(G389&lt;TODAY(),"OVERDUE",IF(G389-TODAY()&lt;=30,"Due in "&amp;(G389-TODAY())&amp;" days","")),"")</f>
        <v/>
      </c>
    </row>
    <row r="390" spans="1:8" x14ac:dyDescent="0.35">
      <c r="A390" s="25"/>
      <c r="B390" s="15"/>
      <c r="C390" s="15"/>
      <c r="D390" s="15"/>
      <c r="E390" s="18"/>
      <c r="F390" s="15"/>
      <c r="G390" s="25"/>
      <c r="H390" s="11" t="str">
        <f t="shared" ca="1" si="6"/>
        <v/>
      </c>
    </row>
    <row r="391" spans="1:8" x14ac:dyDescent="0.35">
      <c r="A391" s="25"/>
      <c r="B391" s="15"/>
      <c r="C391" s="15"/>
      <c r="D391" s="15"/>
      <c r="E391" s="18"/>
      <c r="F391" s="15"/>
      <c r="G391" s="25"/>
      <c r="H391" s="11" t="str">
        <f t="shared" ca="1" si="6"/>
        <v/>
      </c>
    </row>
    <row r="392" spans="1:8" x14ac:dyDescent="0.35">
      <c r="A392" s="25"/>
      <c r="B392" s="15"/>
      <c r="C392" s="15"/>
      <c r="D392" s="15"/>
      <c r="E392" s="18"/>
      <c r="F392" s="15"/>
      <c r="G392" s="25"/>
      <c r="H392" s="11" t="str">
        <f t="shared" ca="1" si="6"/>
        <v/>
      </c>
    </row>
    <row r="393" spans="1:8" x14ac:dyDescent="0.35">
      <c r="A393" s="25"/>
      <c r="B393" s="15"/>
      <c r="C393" s="15"/>
      <c r="D393" s="15"/>
      <c r="E393" s="18"/>
      <c r="F393" s="15"/>
      <c r="G393" s="25"/>
      <c r="H393" s="11" t="str">
        <f t="shared" ca="1" si="6"/>
        <v/>
      </c>
    </row>
    <row r="394" spans="1:8" x14ac:dyDescent="0.35">
      <c r="A394" s="25"/>
      <c r="B394" s="15"/>
      <c r="C394" s="15"/>
      <c r="D394" s="15"/>
      <c r="E394" s="18"/>
      <c r="F394" s="15"/>
      <c r="G394" s="25"/>
      <c r="H394" s="11" t="str">
        <f t="shared" ca="1" si="6"/>
        <v/>
      </c>
    </row>
    <row r="395" spans="1:8" x14ac:dyDescent="0.35">
      <c r="A395" s="25"/>
      <c r="B395" s="15"/>
      <c r="C395" s="15"/>
      <c r="D395" s="15"/>
      <c r="E395" s="18"/>
      <c r="F395" s="15"/>
      <c r="G395" s="25"/>
      <c r="H395" s="11" t="str">
        <f t="shared" ca="1" si="6"/>
        <v/>
      </c>
    </row>
    <row r="396" spans="1:8" x14ac:dyDescent="0.35">
      <c r="A396" s="25"/>
      <c r="B396" s="15"/>
      <c r="C396" s="15"/>
      <c r="D396" s="15"/>
      <c r="E396" s="18"/>
      <c r="F396" s="15"/>
      <c r="G396" s="25"/>
      <c r="H396" s="11" t="str">
        <f t="shared" ca="1" si="6"/>
        <v/>
      </c>
    </row>
    <row r="397" spans="1:8" x14ac:dyDescent="0.35">
      <c r="A397" s="25"/>
      <c r="B397" s="15"/>
      <c r="C397" s="15"/>
      <c r="D397" s="15"/>
      <c r="E397" s="18"/>
      <c r="F397" s="15"/>
      <c r="G397" s="25"/>
      <c r="H397" s="11" t="str">
        <f t="shared" ca="1" si="6"/>
        <v/>
      </c>
    </row>
    <row r="398" spans="1:8" x14ac:dyDescent="0.35">
      <c r="A398" s="25"/>
      <c r="B398" s="15"/>
      <c r="C398" s="15"/>
      <c r="D398" s="15"/>
      <c r="E398" s="18"/>
      <c r="F398" s="15"/>
      <c r="G398" s="25"/>
      <c r="H398" s="11" t="str">
        <f t="shared" ca="1" si="6"/>
        <v/>
      </c>
    </row>
    <row r="399" spans="1:8" x14ac:dyDescent="0.35">
      <c r="A399" s="25"/>
      <c r="B399" s="15"/>
      <c r="C399" s="15"/>
      <c r="D399" s="15"/>
      <c r="E399" s="18"/>
      <c r="F399" s="15"/>
      <c r="G399" s="25"/>
      <c r="H399" s="11" t="str">
        <f t="shared" ca="1" si="6"/>
        <v/>
      </c>
    </row>
    <row r="400" spans="1:8" x14ac:dyDescent="0.35">
      <c r="A400" s="25"/>
      <c r="B400" s="15"/>
      <c r="C400" s="15"/>
      <c r="D400" s="15"/>
      <c r="E400" s="18"/>
      <c r="F400" s="15"/>
      <c r="G400" s="25"/>
      <c r="H400" s="11" t="str">
        <f t="shared" ca="1" si="6"/>
        <v/>
      </c>
    </row>
    <row r="401" spans="1:8" x14ac:dyDescent="0.35">
      <c r="A401" s="25"/>
      <c r="B401" s="15"/>
      <c r="C401" s="15"/>
      <c r="D401" s="15"/>
      <c r="E401" s="18"/>
      <c r="F401" s="15"/>
      <c r="G401" s="25"/>
      <c r="H401" s="11" t="str">
        <f t="shared" ca="1" si="6"/>
        <v/>
      </c>
    </row>
    <row r="402" spans="1:8" x14ac:dyDescent="0.35">
      <c r="A402" s="25"/>
      <c r="B402" s="15"/>
      <c r="C402" s="15"/>
      <c r="D402" s="15"/>
      <c r="E402" s="18"/>
      <c r="F402" s="15"/>
      <c r="G402" s="25"/>
      <c r="H402" s="11" t="str">
        <f t="shared" ca="1" si="6"/>
        <v/>
      </c>
    </row>
    <row r="403" spans="1:8" x14ac:dyDescent="0.35">
      <c r="A403" s="25"/>
      <c r="B403" s="15"/>
      <c r="C403" s="15"/>
      <c r="D403" s="15"/>
      <c r="E403" s="18"/>
      <c r="F403" s="15"/>
      <c r="G403" s="25"/>
      <c r="H403" s="11" t="str">
        <f t="shared" ca="1" si="6"/>
        <v/>
      </c>
    </row>
    <row r="404" spans="1:8" x14ac:dyDescent="0.35">
      <c r="A404" s="25"/>
      <c r="B404" s="15"/>
      <c r="C404" s="15"/>
      <c r="D404" s="15"/>
      <c r="E404" s="18"/>
      <c r="F404" s="15"/>
      <c r="G404" s="25"/>
      <c r="H404" s="11" t="str">
        <f t="shared" ca="1" si="6"/>
        <v/>
      </c>
    </row>
    <row r="405" spans="1:8" x14ac:dyDescent="0.35">
      <c r="A405" s="25"/>
      <c r="B405" s="15"/>
      <c r="C405" s="15"/>
      <c r="D405" s="15"/>
      <c r="E405" s="18"/>
      <c r="F405" s="15"/>
      <c r="G405" s="25"/>
      <c r="H405" s="11" t="str">
        <f t="shared" ca="1" si="6"/>
        <v/>
      </c>
    </row>
    <row r="406" spans="1:8" x14ac:dyDescent="0.35">
      <c r="A406" s="25"/>
      <c r="B406" s="15"/>
      <c r="C406" s="15"/>
      <c r="D406" s="15"/>
      <c r="E406" s="18"/>
      <c r="F406" s="15"/>
      <c r="G406" s="25"/>
      <c r="H406" s="11" t="str">
        <f t="shared" ca="1" si="6"/>
        <v/>
      </c>
    </row>
    <row r="407" spans="1:8" x14ac:dyDescent="0.35">
      <c r="A407" s="25"/>
      <c r="B407" s="15"/>
      <c r="C407" s="15"/>
      <c r="D407" s="15"/>
      <c r="E407" s="18"/>
      <c r="F407" s="15"/>
      <c r="G407" s="25"/>
      <c r="H407" s="11" t="str">
        <f t="shared" ca="1" si="6"/>
        <v/>
      </c>
    </row>
    <row r="408" spans="1:8" x14ac:dyDescent="0.35">
      <c r="A408" s="25"/>
      <c r="B408" s="15"/>
      <c r="C408" s="15"/>
      <c r="D408" s="15"/>
      <c r="E408" s="18"/>
      <c r="F408" s="15"/>
      <c r="G408" s="25"/>
      <c r="H408" s="11" t="str">
        <f t="shared" ca="1" si="6"/>
        <v/>
      </c>
    </row>
    <row r="409" spans="1:8" x14ac:dyDescent="0.35">
      <c r="A409" s="25"/>
      <c r="B409" s="15"/>
      <c r="C409" s="15"/>
      <c r="D409" s="15"/>
      <c r="E409" s="18"/>
      <c r="F409" s="15"/>
      <c r="G409" s="25"/>
      <c r="H409" s="11" t="str">
        <f t="shared" ca="1" si="6"/>
        <v/>
      </c>
    </row>
    <row r="410" spans="1:8" x14ac:dyDescent="0.35">
      <c r="A410" s="25"/>
      <c r="B410" s="15"/>
      <c r="C410" s="15"/>
      <c r="D410" s="15"/>
      <c r="E410" s="18"/>
      <c r="F410" s="15"/>
      <c r="G410" s="25"/>
      <c r="H410" s="11" t="str">
        <f t="shared" ca="1" si="6"/>
        <v/>
      </c>
    </row>
    <row r="411" spans="1:8" x14ac:dyDescent="0.35">
      <c r="A411" s="25"/>
      <c r="B411" s="15"/>
      <c r="C411" s="15"/>
      <c r="D411" s="15"/>
      <c r="E411" s="18"/>
      <c r="F411" s="15"/>
      <c r="G411" s="25"/>
      <c r="H411" s="11" t="str">
        <f t="shared" ca="1" si="6"/>
        <v/>
      </c>
    </row>
    <row r="412" spans="1:8" x14ac:dyDescent="0.35">
      <c r="A412" s="25"/>
      <c r="B412" s="15"/>
      <c r="C412" s="15"/>
      <c r="D412" s="15"/>
      <c r="E412" s="18"/>
      <c r="F412" s="15"/>
      <c r="G412" s="25"/>
      <c r="H412" s="11" t="str">
        <f t="shared" ca="1" si="6"/>
        <v/>
      </c>
    </row>
    <row r="413" spans="1:8" x14ac:dyDescent="0.35">
      <c r="A413" s="25"/>
      <c r="B413" s="15"/>
      <c r="C413" s="15"/>
      <c r="D413" s="15"/>
      <c r="E413" s="18"/>
      <c r="F413" s="15"/>
      <c r="G413" s="25"/>
      <c r="H413" s="11" t="str">
        <f t="shared" ca="1" si="6"/>
        <v/>
      </c>
    </row>
    <row r="414" spans="1:8" x14ac:dyDescent="0.35">
      <c r="A414" s="25"/>
      <c r="B414" s="15"/>
      <c r="C414" s="15"/>
      <c r="D414" s="15"/>
      <c r="E414" s="18"/>
      <c r="F414" s="15"/>
      <c r="G414" s="25"/>
      <c r="H414" s="11" t="str">
        <f t="shared" ca="1" si="6"/>
        <v/>
      </c>
    </row>
    <row r="415" spans="1:8" x14ac:dyDescent="0.35">
      <c r="A415" s="25"/>
      <c r="B415" s="15"/>
      <c r="C415" s="15"/>
      <c r="D415" s="15"/>
      <c r="E415" s="18"/>
      <c r="F415" s="15"/>
      <c r="G415" s="25"/>
      <c r="H415" s="11" t="str">
        <f t="shared" ca="1" si="6"/>
        <v/>
      </c>
    </row>
    <row r="416" spans="1:8" x14ac:dyDescent="0.35">
      <c r="A416" s="25"/>
      <c r="B416" s="15"/>
      <c r="C416" s="15"/>
      <c r="D416" s="15"/>
      <c r="E416" s="18"/>
      <c r="F416" s="15"/>
      <c r="G416" s="25"/>
      <c r="H416" s="11" t="str">
        <f t="shared" ca="1" si="6"/>
        <v/>
      </c>
    </row>
    <row r="417" spans="1:8" x14ac:dyDescent="0.35">
      <c r="A417" s="25"/>
      <c r="B417" s="15"/>
      <c r="C417" s="15"/>
      <c r="D417" s="15"/>
      <c r="E417" s="18"/>
      <c r="F417" s="15"/>
      <c r="G417" s="25"/>
      <c r="H417" s="11" t="str">
        <f t="shared" ca="1" si="6"/>
        <v/>
      </c>
    </row>
    <row r="418" spans="1:8" x14ac:dyDescent="0.35">
      <c r="A418" s="25"/>
      <c r="B418" s="15"/>
      <c r="C418" s="15"/>
      <c r="D418" s="15"/>
      <c r="E418" s="18"/>
      <c r="F418" s="15"/>
      <c r="G418" s="25"/>
      <c r="H418" s="11" t="str">
        <f t="shared" ca="1" si="6"/>
        <v/>
      </c>
    </row>
    <row r="419" spans="1:8" x14ac:dyDescent="0.35">
      <c r="A419" s="25"/>
      <c r="B419" s="15"/>
      <c r="C419" s="15"/>
      <c r="D419" s="15"/>
      <c r="E419" s="18"/>
      <c r="F419" s="15"/>
      <c r="G419" s="25"/>
      <c r="H419" s="11" t="str">
        <f t="shared" ca="1" si="6"/>
        <v/>
      </c>
    </row>
    <row r="420" spans="1:8" x14ac:dyDescent="0.35">
      <c r="A420" s="25"/>
      <c r="B420" s="15"/>
      <c r="C420" s="15"/>
      <c r="D420" s="15"/>
      <c r="E420" s="18"/>
      <c r="F420" s="15"/>
      <c r="G420" s="25"/>
      <c r="H420" s="11" t="str">
        <f t="shared" ca="1" si="6"/>
        <v/>
      </c>
    </row>
    <row r="421" spans="1:8" x14ac:dyDescent="0.35">
      <c r="A421" s="25"/>
      <c r="B421" s="15"/>
      <c r="C421" s="15"/>
      <c r="D421" s="15"/>
      <c r="E421" s="18"/>
      <c r="F421" s="15"/>
      <c r="G421" s="25"/>
      <c r="H421" s="11" t="str">
        <f t="shared" ca="1" si="6"/>
        <v/>
      </c>
    </row>
    <row r="422" spans="1:8" x14ac:dyDescent="0.35">
      <c r="A422" s="25"/>
      <c r="B422" s="15"/>
      <c r="C422" s="15"/>
      <c r="D422" s="15"/>
      <c r="E422" s="18"/>
      <c r="F422" s="15"/>
      <c r="G422" s="25"/>
      <c r="H422" s="11" t="str">
        <f t="shared" ca="1" si="6"/>
        <v/>
      </c>
    </row>
    <row r="423" spans="1:8" x14ac:dyDescent="0.35">
      <c r="A423" s="25"/>
      <c r="B423" s="15"/>
      <c r="C423" s="15"/>
      <c r="D423" s="15"/>
      <c r="E423" s="18"/>
      <c r="F423" s="15"/>
      <c r="G423" s="25"/>
      <c r="H423" s="11" t="str">
        <f t="shared" ca="1" si="6"/>
        <v/>
      </c>
    </row>
    <row r="424" spans="1:8" x14ac:dyDescent="0.35">
      <c r="A424" s="25"/>
      <c r="B424" s="15"/>
      <c r="C424" s="15"/>
      <c r="D424" s="15"/>
      <c r="E424" s="18"/>
      <c r="F424" s="15"/>
      <c r="G424" s="25"/>
      <c r="H424" s="11" t="str">
        <f t="shared" ca="1" si="6"/>
        <v/>
      </c>
    </row>
    <row r="425" spans="1:8" x14ac:dyDescent="0.35">
      <c r="A425" s="25"/>
      <c r="B425" s="15"/>
      <c r="C425" s="15"/>
      <c r="D425" s="15"/>
      <c r="E425" s="18"/>
      <c r="F425" s="15"/>
      <c r="G425" s="25"/>
      <c r="H425" s="11" t="str">
        <f t="shared" ca="1" si="6"/>
        <v/>
      </c>
    </row>
    <row r="426" spans="1:8" x14ac:dyDescent="0.35">
      <c r="A426" s="25"/>
      <c r="B426" s="15"/>
      <c r="C426" s="15"/>
      <c r="D426" s="15"/>
      <c r="E426" s="18"/>
      <c r="F426" s="15"/>
      <c r="G426" s="25"/>
      <c r="H426" s="11" t="str">
        <f t="shared" ca="1" si="6"/>
        <v/>
      </c>
    </row>
    <row r="427" spans="1:8" x14ac:dyDescent="0.35">
      <c r="A427" s="25"/>
      <c r="B427" s="15"/>
      <c r="C427" s="15"/>
      <c r="D427" s="15"/>
      <c r="E427" s="18"/>
      <c r="F427" s="15"/>
      <c r="G427" s="25"/>
      <c r="H427" s="11" t="str">
        <f t="shared" ca="1" si="6"/>
        <v/>
      </c>
    </row>
    <row r="428" spans="1:8" x14ac:dyDescent="0.35">
      <c r="A428" s="25"/>
      <c r="B428" s="15"/>
      <c r="C428" s="15"/>
      <c r="D428" s="15"/>
      <c r="E428" s="18"/>
      <c r="F428" s="15"/>
      <c r="G428" s="25"/>
      <c r="H428" s="11" t="str">
        <f t="shared" ca="1" si="6"/>
        <v/>
      </c>
    </row>
    <row r="429" spans="1:8" x14ac:dyDescent="0.35">
      <c r="A429" s="25"/>
      <c r="B429" s="15"/>
      <c r="C429" s="15"/>
      <c r="D429" s="15"/>
      <c r="E429" s="18"/>
      <c r="F429" s="15"/>
      <c r="G429" s="25"/>
      <c r="H429" s="11" t="str">
        <f t="shared" ca="1" si="6"/>
        <v/>
      </c>
    </row>
    <row r="430" spans="1:8" x14ac:dyDescent="0.35">
      <c r="A430" s="25"/>
      <c r="B430" s="15"/>
      <c r="C430" s="15"/>
      <c r="D430" s="15"/>
      <c r="E430" s="18"/>
      <c r="F430" s="15"/>
      <c r="G430" s="25"/>
      <c r="H430" s="11" t="str">
        <f t="shared" ca="1" si="6"/>
        <v/>
      </c>
    </row>
    <row r="431" spans="1:8" x14ac:dyDescent="0.35">
      <c r="A431" s="25"/>
      <c r="B431" s="15"/>
      <c r="C431" s="15"/>
      <c r="D431" s="15"/>
      <c r="E431" s="18"/>
      <c r="F431" s="15"/>
      <c r="G431" s="25"/>
      <c r="H431" s="11" t="str">
        <f t="shared" ca="1" si="6"/>
        <v/>
      </c>
    </row>
    <row r="432" spans="1:8" x14ac:dyDescent="0.35">
      <c r="A432" s="25"/>
      <c r="B432" s="15"/>
      <c r="C432" s="15"/>
      <c r="D432" s="15"/>
      <c r="E432" s="18"/>
      <c r="F432" s="15"/>
      <c r="G432" s="25"/>
      <c r="H432" s="11" t="str">
        <f t="shared" ca="1" si="6"/>
        <v/>
      </c>
    </row>
    <row r="433" spans="1:8" x14ac:dyDescent="0.35">
      <c r="A433" s="25"/>
      <c r="B433" s="15"/>
      <c r="C433" s="15"/>
      <c r="D433" s="15"/>
      <c r="E433" s="18"/>
      <c r="F433" s="15"/>
      <c r="G433" s="25"/>
      <c r="H433" s="11" t="str">
        <f t="shared" ca="1" si="6"/>
        <v/>
      </c>
    </row>
    <row r="434" spans="1:8" x14ac:dyDescent="0.35">
      <c r="A434" s="25"/>
      <c r="B434" s="15"/>
      <c r="C434" s="15"/>
      <c r="D434" s="15"/>
      <c r="E434" s="18"/>
      <c r="F434" s="15"/>
      <c r="G434" s="25"/>
      <c r="H434" s="11" t="str">
        <f t="shared" ca="1" si="6"/>
        <v/>
      </c>
    </row>
    <row r="435" spans="1:8" x14ac:dyDescent="0.35">
      <c r="A435" s="25"/>
      <c r="B435" s="15"/>
      <c r="C435" s="15"/>
      <c r="D435" s="15"/>
      <c r="E435" s="18"/>
      <c r="F435" s="15"/>
      <c r="G435" s="25"/>
      <c r="H435" s="11" t="str">
        <f t="shared" ca="1" si="6"/>
        <v/>
      </c>
    </row>
    <row r="436" spans="1:8" x14ac:dyDescent="0.35">
      <c r="A436" s="25"/>
      <c r="B436" s="15"/>
      <c r="C436" s="15"/>
      <c r="D436" s="15"/>
      <c r="E436" s="18"/>
      <c r="F436" s="15"/>
      <c r="G436" s="25"/>
      <c r="H436" s="11" t="str">
        <f t="shared" ca="1" si="6"/>
        <v/>
      </c>
    </row>
    <row r="437" spans="1:8" x14ac:dyDescent="0.35">
      <c r="A437" s="25"/>
      <c r="B437" s="15"/>
      <c r="C437" s="15"/>
      <c r="D437" s="15"/>
      <c r="E437" s="18"/>
      <c r="F437" s="15"/>
      <c r="G437" s="25"/>
      <c r="H437" s="11" t="str">
        <f t="shared" ca="1" si="6"/>
        <v/>
      </c>
    </row>
    <row r="438" spans="1:8" x14ac:dyDescent="0.35">
      <c r="A438" s="25"/>
      <c r="B438" s="15"/>
      <c r="C438" s="15"/>
      <c r="D438" s="15"/>
      <c r="E438" s="18"/>
      <c r="F438" s="15"/>
      <c r="G438" s="25"/>
      <c r="H438" s="11" t="str">
        <f t="shared" ca="1" si="6"/>
        <v/>
      </c>
    </row>
    <row r="439" spans="1:8" x14ac:dyDescent="0.35">
      <c r="A439" s="25"/>
      <c r="B439" s="15"/>
      <c r="C439" s="15"/>
      <c r="D439" s="15"/>
      <c r="E439" s="18"/>
      <c r="F439" s="15"/>
      <c r="G439" s="25"/>
      <c r="H439" s="11" t="str">
        <f t="shared" ca="1" si="6"/>
        <v/>
      </c>
    </row>
    <row r="440" spans="1:8" x14ac:dyDescent="0.35">
      <c r="A440" s="25"/>
      <c r="B440" s="15"/>
      <c r="C440" s="15"/>
      <c r="D440" s="15"/>
      <c r="E440" s="18"/>
      <c r="F440" s="15"/>
      <c r="G440" s="25"/>
      <c r="H440" s="11" t="str">
        <f t="shared" ca="1" si="6"/>
        <v/>
      </c>
    </row>
    <row r="441" spans="1:8" x14ac:dyDescent="0.35">
      <c r="A441" s="25"/>
      <c r="B441" s="15"/>
      <c r="C441" s="15"/>
      <c r="D441" s="15"/>
      <c r="E441" s="18"/>
      <c r="F441" s="15"/>
      <c r="G441" s="25"/>
      <c r="H441" s="11" t="str">
        <f t="shared" ca="1" si="6"/>
        <v/>
      </c>
    </row>
    <row r="442" spans="1:8" x14ac:dyDescent="0.35">
      <c r="A442" s="25"/>
      <c r="B442" s="15"/>
      <c r="C442" s="15"/>
      <c r="D442" s="15"/>
      <c r="E442" s="18"/>
      <c r="F442" s="15"/>
      <c r="G442" s="25"/>
      <c r="H442" s="11" t="str">
        <f t="shared" ca="1" si="6"/>
        <v/>
      </c>
    </row>
    <row r="443" spans="1:8" x14ac:dyDescent="0.35">
      <c r="A443" s="25"/>
      <c r="B443" s="15"/>
      <c r="C443" s="15"/>
      <c r="D443" s="15"/>
      <c r="E443" s="18"/>
      <c r="F443" s="15"/>
      <c r="G443" s="25"/>
      <c r="H443" s="11" t="str">
        <f t="shared" ca="1" si="6"/>
        <v/>
      </c>
    </row>
    <row r="444" spans="1:8" x14ac:dyDescent="0.35">
      <c r="A444" s="25"/>
      <c r="B444" s="15"/>
      <c r="C444" s="15"/>
      <c r="D444" s="15"/>
      <c r="E444" s="18"/>
      <c r="F444" s="15"/>
      <c r="G444" s="25"/>
      <c r="H444" s="11" t="str">
        <f t="shared" ca="1" si="6"/>
        <v/>
      </c>
    </row>
    <row r="445" spans="1:8" x14ac:dyDescent="0.35">
      <c r="A445" s="25"/>
      <c r="B445" s="15"/>
      <c r="C445" s="15"/>
      <c r="D445" s="15"/>
      <c r="E445" s="18"/>
      <c r="F445" s="15"/>
      <c r="G445" s="25"/>
      <c r="H445" s="11" t="str">
        <f t="shared" ca="1" si="6"/>
        <v/>
      </c>
    </row>
    <row r="446" spans="1:8" x14ac:dyDescent="0.35">
      <c r="A446" s="25"/>
      <c r="B446" s="15"/>
      <c r="C446" s="15"/>
      <c r="D446" s="15"/>
      <c r="E446" s="18"/>
      <c r="F446" s="15"/>
      <c r="G446" s="25"/>
      <c r="H446" s="11" t="str">
        <f t="shared" ca="1" si="6"/>
        <v/>
      </c>
    </row>
    <row r="447" spans="1:8" x14ac:dyDescent="0.35">
      <c r="A447" s="25"/>
      <c r="B447" s="15"/>
      <c r="C447" s="15"/>
      <c r="D447" s="15"/>
      <c r="E447" s="18"/>
      <c r="F447" s="15"/>
      <c r="G447" s="25"/>
      <c r="H447" s="11" t="str">
        <f t="shared" ca="1" si="6"/>
        <v/>
      </c>
    </row>
    <row r="448" spans="1:8" x14ac:dyDescent="0.35">
      <c r="A448" s="25"/>
      <c r="B448" s="15"/>
      <c r="C448" s="15"/>
      <c r="D448" s="15"/>
      <c r="E448" s="18"/>
      <c r="F448" s="15"/>
      <c r="G448" s="25"/>
      <c r="H448" s="11" t="str">
        <f t="shared" ca="1" si="6"/>
        <v/>
      </c>
    </row>
    <row r="449" spans="1:8" x14ac:dyDescent="0.35">
      <c r="A449" s="25"/>
      <c r="B449" s="15"/>
      <c r="C449" s="15"/>
      <c r="D449" s="15"/>
      <c r="E449" s="18"/>
      <c r="F449" s="15"/>
      <c r="G449" s="25"/>
      <c r="H449" s="11" t="str">
        <f t="shared" ca="1" si="6"/>
        <v/>
      </c>
    </row>
    <row r="450" spans="1:8" x14ac:dyDescent="0.35">
      <c r="A450" s="25"/>
      <c r="B450" s="15"/>
      <c r="C450" s="15"/>
      <c r="D450" s="15"/>
      <c r="E450" s="18"/>
      <c r="F450" s="15"/>
      <c r="G450" s="25"/>
      <c r="H450" s="11" t="str">
        <f t="shared" ca="1" si="6"/>
        <v/>
      </c>
    </row>
    <row r="451" spans="1:8" x14ac:dyDescent="0.35">
      <c r="A451" s="25"/>
      <c r="B451" s="15"/>
      <c r="C451" s="15"/>
      <c r="D451" s="15"/>
      <c r="E451" s="18"/>
      <c r="F451" s="15"/>
      <c r="G451" s="25"/>
      <c r="H451" s="11" t="str">
        <f t="shared" ca="1" si="6"/>
        <v/>
      </c>
    </row>
    <row r="452" spans="1:8" x14ac:dyDescent="0.35">
      <c r="A452" s="25"/>
      <c r="B452" s="15"/>
      <c r="C452" s="15"/>
      <c r="D452" s="15"/>
      <c r="E452" s="18"/>
      <c r="F452" s="15"/>
      <c r="G452" s="25"/>
      <c r="H452" s="11" t="str">
        <f t="shared" ca="1" si="6"/>
        <v/>
      </c>
    </row>
    <row r="453" spans="1:8" x14ac:dyDescent="0.35">
      <c r="A453" s="25"/>
      <c r="B453" s="15"/>
      <c r="C453" s="15"/>
      <c r="D453" s="15"/>
      <c r="E453" s="18"/>
      <c r="F453" s="15"/>
      <c r="G453" s="25"/>
      <c r="H453" s="11" t="str">
        <f t="shared" ref="H453:H516" ca="1" si="7">IF(AND(F453="Owed",ISNUMBER(G453)),IF(G453&lt;TODAY(),"OVERDUE",IF(G453-TODAY()&lt;=30,"Due in "&amp;(G453-TODAY())&amp;" days","")),"")</f>
        <v/>
      </c>
    </row>
    <row r="454" spans="1:8" x14ac:dyDescent="0.35">
      <c r="A454" s="25"/>
      <c r="B454" s="15"/>
      <c r="C454" s="15"/>
      <c r="D454" s="15"/>
      <c r="E454" s="18"/>
      <c r="F454" s="15"/>
      <c r="G454" s="25"/>
      <c r="H454" s="11" t="str">
        <f t="shared" ca="1" si="7"/>
        <v/>
      </c>
    </row>
    <row r="455" spans="1:8" x14ac:dyDescent="0.35">
      <c r="A455" s="25"/>
      <c r="B455" s="15"/>
      <c r="C455" s="15"/>
      <c r="D455" s="15"/>
      <c r="E455" s="18"/>
      <c r="F455" s="15"/>
      <c r="G455" s="25"/>
      <c r="H455" s="11" t="str">
        <f t="shared" ca="1" si="7"/>
        <v/>
      </c>
    </row>
    <row r="456" spans="1:8" x14ac:dyDescent="0.35">
      <c r="A456" s="25"/>
      <c r="B456" s="15"/>
      <c r="C456" s="15"/>
      <c r="D456" s="15"/>
      <c r="E456" s="18"/>
      <c r="F456" s="15"/>
      <c r="G456" s="25"/>
      <c r="H456" s="11" t="str">
        <f t="shared" ca="1" si="7"/>
        <v/>
      </c>
    </row>
    <row r="457" spans="1:8" x14ac:dyDescent="0.35">
      <c r="A457" s="25"/>
      <c r="B457" s="15"/>
      <c r="C457" s="15"/>
      <c r="D457" s="15"/>
      <c r="E457" s="18"/>
      <c r="F457" s="15"/>
      <c r="G457" s="25"/>
      <c r="H457" s="11" t="str">
        <f t="shared" ca="1" si="7"/>
        <v/>
      </c>
    </row>
    <row r="458" spans="1:8" x14ac:dyDescent="0.35">
      <c r="A458" s="25"/>
      <c r="B458" s="15"/>
      <c r="C458" s="15"/>
      <c r="D458" s="15"/>
      <c r="E458" s="18"/>
      <c r="F458" s="15"/>
      <c r="G458" s="25"/>
      <c r="H458" s="11" t="str">
        <f t="shared" ca="1" si="7"/>
        <v/>
      </c>
    </row>
    <row r="459" spans="1:8" x14ac:dyDescent="0.35">
      <c r="A459" s="25"/>
      <c r="B459" s="15"/>
      <c r="C459" s="15"/>
      <c r="D459" s="15"/>
      <c r="E459" s="18"/>
      <c r="F459" s="15"/>
      <c r="G459" s="25"/>
      <c r="H459" s="11" t="str">
        <f t="shared" ca="1" si="7"/>
        <v/>
      </c>
    </row>
    <row r="460" spans="1:8" x14ac:dyDescent="0.35">
      <c r="A460" s="25"/>
      <c r="B460" s="15"/>
      <c r="C460" s="15"/>
      <c r="D460" s="15"/>
      <c r="E460" s="18"/>
      <c r="F460" s="15"/>
      <c r="G460" s="25"/>
      <c r="H460" s="11" t="str">
        <f t="shared" ca="1" si="7"/>
        <v/>
      </c>
    </row>
    <row r="461" spans="1:8" x14ac:dyDescent="0.35">
      <c r="A461" s="25"/>
      <c r="B461" s="15"/>
      <c r="C461" s="15"/>
      <c r="D461" s="15"/>
      <c r="E461" s="18"/>
      <c r="F461" s="15"/>
      <c r="G461" s="25"/>
      <c r="H461" s="11" t="str">
        <f t="shared" ca="1" si="7"/>
        <v/>
      </c>
    </row>
    <row r="462" spans="1:8" x14ac:dyDescent="0.35">
      <c r="A462" s="25"/>
      <c r="B462" s="15"/>
      <c r="C462" s="15"/>
      <c r="D462" s="15"/>
      <c r="E462" s="18"/>
      <c r="F462" s="15"/>
      <c r="G462" s="25"/>
      <c r="H462" s="11" t="str">
        <f t="shared" ca="1" si="7"/>
        <v/>
      </c>
    </row>
    <row r="463" spans="1:8" x14ac:dyDescent="0.35">
      <c r="A463" s="25"/>
      <c r="B463" s="15"/>
      <c r="C463" s="15"/>
      <c r="D463" s="15"/>
      <c r="E463" s="18"/>
      <c r="F463" s="15"/>
      <c r="G463" s="25"/>
      <c r="H463" s="11" t="str">
        <f t="shared" ca="1" si="7"/>
        <v/>
      </c>
    </row>
    <row r="464" spans="1:8" x14ac:dyDescent="0.35">
      <c r="A464" s="25"/>
      <c r="B464" s="15"/>
      <c r="C464" s="15"/>
      <c r="D464" s="15"/>
      <c r="E464" s="18"/>
      <c r="F464" s="15"/>
      <c r="G464" s="25"/>
      <c r="H464" s="11" t="str">
        <f t="shared" ca="1" si="7"/>
        <v/>
      </c>
    </row>
    <row r="465" spans="1:8" x14ac:dyDescent="0.35">
      <c r="A465" s="25"/>
      <c r="B465" s="15"/>
      <c r="C465" s="15"/>
      <c r="D465" s="15"/>
      <c r="E465" s="18"/>
      <c r="F465" s="15"/>
      <c r="G465" s="25"/>
      <c r="H465" s="11" t="str">
        <f t="shared" ca="1" si="7"/>
        <v/>
      </c>
    </row>
    <row r="466" spans="1:8" x14ac:dyDescent="0.35">
      <c r="A466" s="25"/>
      <c r="B466" s="15"/>
      <c r="C466" s="15"/>
      <c r="D466" s="15"/>
      <c r="E466" s="18"/>
      <c r="F466" s="15"/>
      <c r="G466" s="25"/>
      <c r="H466" s="11" t="str">
        <f t="shared" ca="1" si="7"/>
        <v/>
      </c>
    </row>
    <row r="467" spans="1:8" x14ac:dyDescent="0.35">
      <c r="A467" s="25"/>
      <c r="B467" s="15"/>
      <c r="C467" s="15"/>
      <c r="D467" s="15"/>
      <c r="E467" s="18"/>
      <c r="F467" s="15"/>
      <c r="G467" s="25"/>
      <c r="H467" s="11" t="str">
        <f t="shared" ca="1" si="7"/>
        <v/>
      </c>
    </row>
    <row r="468" spans="1:8" x14ac:dyDescent="0.35">
      <c r="A468" s="25"/>
      <c r="B468" s="15"/>
      <c r="C468" s="15"/>
      <c r="D468" s="15"/>
      <c r="E468" s="18"/>
      <c r="F468" s="15"/>
      <c r="G468" s="25"/>
      <c r="H468" s="11" t="str">
        <f t="shared" ca="1" si="7"/>
        <v/>
      </c>
    </row>
    <row r="469" spans="1:8" x14ac:dyDescent="0.35">
      <c r="A469" s="25"/>
      <c r="B469" s="15"/>
      <c r="C469" s="15"/>
      <c r="D469" s="15"/>
      <c r="E469" s="18"/>
      <c r="F469" s="15"/>
      <c r="G469" s="25"/>
      <c r="H469" s="11" t="str">
        <f t="shared" ca="1" si="7"/>
        <v/>
      </c>
    </row>
    <row r="470" spans="1:8" x14ac:dyDescent="0.35">
      <c r="A470" s="25"/>
      <c r="B470" s="15"/>
      <c r="C470" s="15"/>
      <c r="D470" s="15"/>
      <c r="E470" s="18"/>
      <c r="F470" s="15"/>
      <c r="G470" s="25"/>
      <c r="H470" s="11" t="str">
        <f t="shared" ca="1" si="7"/>
        <v/>
      </c>
    </row>
    <row r="471" spans="1:8" x14ac:dyDescent="0.35">
      <c r="A471" s="25"/>
      <c r="B471" s="15"/>
      <c r="C471" s="15"/>
      <c r="D471" s="15"/>
      <c r="E471" s="18"/>
      <c r="F471" s="15"/>
      <c r="G471" s="25"/>
      <c r="H471" s="11" t="str">
        <f t="shared" ca="1" si="7"/>
        <v/>
      </c>
    </row>
    <row r="472" spans="1:8" x14ac:dyDescent="0.35">
      <c r="A472" s="25"/>
      <c r="B472" s="15"/>
      <c r="C472" s="15"/>
      <c r="D472" s="15"/>
      <c r="E472" s="18"/>
      <c r="F472" s="15"/>
      <c r="G472" s="25"/>
      <c r="H472" s="11" t="str">
        <f t="shared" ca="1" si="7"/>
        <v/>
      </c>
    </row>
    <row r="473" spans="1:8" x14ac:dyDescent="0.35">
      <c r="A473" s="25"/>
      <c r="B473" s="15"/>
      <c r="C473" s="15"/>
      <c r="D473" s="15"/>
      <c r="E473" s="18"/>
      <c r="F473" s="15"/>
      <c r="G473" s="25"/>
      <c r="H473" s="11" t="str">
        <f t="shared" ca="1" si="7"/>
        <v/>
      </c>
    </row>
    <row r="474" spans="1:8" x14ac:dyDescent="0.35">
      <c r="A474" s="25"/>
      <c r="B474" s="15"/>
      <c r="C474" s="15"/>
      <c r="D474" s="15"/>
      <c r="E474" s="18"/>
      <c r="F474" s="15"/>
      <c r="G474" s="25"/>
      <c r="H474" s="11" t="str">
        <f t="shared" ca="1" si="7"/>
        <v/>
      </c>
    </row>
    <row r="475" spans="1:8" x14ac:dyDescent="0.35">
      <c r="A475" s="25"/>
      <c r="B475" s="15"/>
      <c r="C475" s="15"/>
      <c r="D475" s="15"/>
      <c r="E475" s="18"/>
      <c r="F475" s="15"/>
      <c r="G475" s="25"/>
      <c r="H475" s="11" t="str">
        <f t="shared" ca="1" si="7"/>
        <v/>
      </c>
    </row>
    <row r="476" spans="1:8" x14ac:dyDescent="0.35">
      <c r="A476" s="25"/>
      <c r="B476" s="15"/>
      <c r="C476" s="15"/>
      <c r="D476" s="15"/>
      <c r="E476" s="18"/>
      <c r="F476" s="15"/>
      <c r="G476" s="25"/>
      <c r="H476" s="11" t="str">
        <f t="shared" ca="1" si="7"/>
        <v/>
      </c>
    </row>
    <row r="477" spans="1:8" x14ac:dyDescent="0.35">
      <c r="A477" s="25"/>
      <c r="B477" s="15"/>
      <c r="C477" s="15"/>
      <c r="D477" s="15"/>
      <c r="E477" s="18"/>
      <c r="F477" s="15"/>
      <c r="G477" s="25"/>
      <c r="H477" s="11" t="str">
        <f t="shared" ca="1" si="7"/>
        <v/>
      </c>
    </row>
    <row r="478" spans="1:8" x14ac:dyDescent="0.35">
      <c r="A478" s="25"/>
      <c r="B478" s="15"/>
      <c r="C478" s="15"/>
      <c r="D478" s="15"/>
      <c r="E478" s="18"/>
      <c r="F478" s="15"/>
      <c r="G478" s="25"/>
      <c r="H478" s="11" t="str">
        <f t="shared" ca="1" si="7"/>
        <v/>
      </c>
    </row>
    <row r="479" spans="1:8" x14ac:dyDescent="0.35">
      <c r="A479" s="25"/>
      <c r="B479" s="15"/>
      <c r="C479" s="15"/>
      <c r="D479" s="15"/>
      <c r="E479" s="18"/>
      <c r="F479" s="15"/>
      <c r="G479" s="25"/>
      <c r="H479" s="11" t="str">
        <f t="shared" ca="1" si="7"/>
        <v/>
      </c>
    </row>
    <row r="480" spans="1:8" x14ac:dyDescent="0.35">
      <c r="A480" s="25"/>
      <c r="B480" s="15"/>
      <c r="C480" s="15"/>
      <c r="D480" s="15"/>
      <c r="E480" s="18"/>
      <c r="F480" s="15"/>
      <c r="G480" s="25"/>
      <c r="H480" s="11" t="str">
        <f t="shared" ca="1" si="7"/>
        <v/>
      </c>
    </row>
    <row r="481" spans="1:8" x14ac:dyDescent="0.35">
      <c r="A481" s="25"/>
      <c r="B481" s="15"/>
      <c r="C481" s="15"/>
      <c r="D481" s="15"/>
      <c r="E481" s="18"/>
      <c r="F481" s="15"/>
      <c r="G481" s="25"/>
      <c r="H481" s="11" t="str">
        <f t="shared" ca="1" si="7"/>
        <v/>
      </c>
    </row>
    <row r="482" spans="1:8" x14ac:dyDescent="0.35">
      <c r="A482" s="25"/>
      <c r="B482" s="15"/>
      <c r="C482" s="15"/>
      <c r="D482" s="15"/>
      <c r="E482" s="18"/>
      <c r="F482" s="15"/>
      <c r="G482" s="25"/>
      <c r="H482" s="11" t="str">
        <f t="shared" ca="1" si="7"/>
        <v/>
      </c>
    </row>
    <row r="483" spans="1:8" x14ac:dyDescent="0.35">
      <c r="A483" s="25"/>
      <c r="B483" s="15"/>
      <c r="C483" s="15"/>
      <c r="D483" s="15"/>
      <c r="E483" s="18"/>
      <c r="F483" s="15"/>
      <c r="G483" s="25"/>
      <c r="H483" s="11" t="str">
        <f t="shared" ca="1" si="7"/>
        <v/>
      </c>
    </row>
    <row r="484" spans="1:8" x14ac:dyDescent="0.35">
      <c r="A484" s="25"/>
      <c r="B484" s="15"/>
      <c r="C484" s="15"/>
      <c r="D484" s="15"/>
      <c r="E484" s="18"/>
      <c r="F484" s="15"/>
      <c r="G484" s="25"/>
      <c r="H484" s="11" t="str">
        <f t="shared" ca="1" si="7"/>
        <v/>
      </c>
    </row>
    <row r="485" spans="1:8" x14ac:dyDescent="0.35">
      <c r="A485" s="25"/>
      <c r="B485" s="15"/>
      <c r="C485" s="15"/>
      <c r="D485" s="15"/>
      <c r="E485" s="18"/>
      <c r="F485" s="15"/>
      <c r="G485" s="25"/>
      <c r="H485" s="11" t="str">
        <f t="shared" ca="1" si="7"/>
        <v/>
      </c>
    </row>
    <row r="486" spans="1:8" x14ac:dyDescent="0.35">
      <c r="A486" s="25"/>
      <c r="B486" s="15"/>
      <c r="C486" s="15"/>
      <c r="D486" s="15"/>
      <c r="E486" s="18"/>
      <c r="F486" s="15"/>
      <c r="G486" s="25"/>
      <c r="H486" s="11" t="str">
        <f t="shared" ca="1" si="7"/>
        <v/>
      </c>
    </row>
    <row r="487" spans="1:8" x14ac:dyDescent="0.35">
      <c r="A487" s="25"/>
      <c r="B487" s="15"/>
      <c r="C487" s="15"/>
      <c r="D487" s="15"/>
      <c r="E487" s="18"/>
      <c r="F487" s="15"/>
      <c r="G487" s="25"/>
      <c r="H487" s="11" t="str">
        <f t="shared" ca="1" si="7"/>
        <v/>
      </c>
    </row>
    <row r="488" spans="1:8" x14ac:dyDescent="0.35">
      <c r="A488" s="25"/>
      <c r="B488" s="15"/>
      <c r="C488" s="15"/>
      <c r="D488" s="15"/>
      <c r="E488" s="18"/>
      <c r="F488" s="15"/>
      <c r="G488" s="25"/>
      <c r="H488" s="11" t="str">
        <f t="shared" ca="1" si="7"/>
        <v/>
      </c>
    </row>
    <row r="489" spans="1:8" x14ac:dyDescent="0.35">
      <c r="A489" s="25"/>
      <c r="B489" s="15"/>
      <c r="C489" s="15"/>
      <c r="D489" s="15"/>
      <c r="E489" s="18"/>
      <c r="F489" s="15"/>
      <c r="G489" s="25"/>
      <c r="H489" s="11" t="str">
        <f t="shared" ca="1" si="7"/>
        <v/>
      </c>
    </row>
    <row r="490" spans="1:8" x14ac:dyDescent="0.35">
      <c r="A490" s="25"/>
      <c r="B490" s="15"/>
      <c r="C490" s="15"/>
      <c r="D490" s="15"/>
      <c r="E490" s="18"/>
      <c r="F490" s="15"/>
      <c r="G490" s="25"/>
      <c r="H490" s="11" t="str">
        <f t="shared" ca="1" si="7"/>
        <v/>
      </c>
    </row>
    <row r="491" spans="1:8" x14ac:dyDescent="0.35">
      <c r="A491" s="25"/>
      <c r="B491" s="15"/>
      <c r="C491" s="15"/>
      <c r="D491" s="15"/>
      <c r="E491" s="18"/>
      <c r="F491" s="15"/>
      <c r="G491" s="25"/>
      <c r="H491" s="11" t="str">
        <f t="shared" ca="1" si="7"/>
        <v/>
      </c>
    </row>
    <row r="492" spans="1:8" x14ac:dyDescent="0.35">
      <c r="A492" s="25"/>
      <c r="B492" s="15"/>
      <c r="C492" s="15"/>
      <c r="D492" s="15"/>
      <c r="E492" s="18"/>
      <c r="F492" s="15"/>
      <c r="G492" s="25"/>
      <c r="H492" s="11" t="str">
        <f t="shared" ca="1" si="7"/>
        <v/>
      </c>
    </row>
    <row r="493" spans="1:8" x14ac:dyDescent="0.35">
      <c r="A493" s="25"/>
      <c r="B493" s="15"/>
      <c r="C493" s="15"/>
      <c r="D493" s="15"/>
      <c r="E493" s="18"/>
      <c r="F493" s="15"/>
      <c r="G493" s="25"/>
      <c r="H493" s="11" t="str">
        <f t="shared" ca="1" si="7"/>
        <v/>
      </c>
    </row>
    <row r="494" spans="1:8" x14ac:dyDescent="0.35">
      <c r="A494" s="25"/>
      <c r="B494" s="15"/>
      <c r="C494" s="15"/>
      <c r="D494" s="15"/>
      <c r="E494" s="18"/>
      <c r="F494" s="15"/>
      <c r="G494" s="25"/>
      <c r="H494" s="11" t="str">
        <f t="shared" ca="1" si="7"/>
        <v/>
      </c>
    </row>
    <row r="495" spans="1:8" x14ac:dyDescent="0.35">
      <c r="A495" s="25"/>
      <c r="B495" s="15"/>
      <c r="C495" s="15"/>
      <c r="D495" s="15"/>
      <c r="E495" s="18"/>
      <c r="F495" s="15"/>
      <c r="G495" s="25"/>
      <c r="H495" s="11" t="str">
        <f t="shared" ca="1" si="7"/>
        <v/>
      </c>
    </row>
    <row r="496" spans="1:8" x14ac:dyDescent="0.35">
      <c r="A496" s="25"/>
      <c r="B496" s="15"/>
      <c r="C496" s="15"/>
      <c r="D496" s="15"/>
      <c r="E496" s="18"/>
      <c r="F496" s="15"/>
      <c r="G496" s="25"/>
      <c r="H496" s="11" t="str">
        <f t="shared" ca="1" si="7"/>
        <v/>
      </c>
    </row>
    <row r="497" spans="1:8" x14ac:dyDescent="0.35">
      <c r="A497" s="25"/>
      <c r="B497" s="15"/>
      <c r="C497" s="15"/>
      <c r="D497" s="15"/>
      <c r="E497" s="18"/>
      <c r="F497" s="15"/>
      <c r="G497" s="25"/>
      <c r="H497" s="11" t="str">
        <f t="shared" ca="1" si="7"/>
        <v/>
      </c>
    </row>
    <row r="498" spans="1:8" x14ac:dyDescent="0.35">
      <c r="A498" s="25"/>
      <c r="B498" s="15"/>
      <c r="C498" s="15"/>
      <c r="D498" s="15"/>
      <c r="E498" s="18"/>
      <c r="F498" s="15"/>
      <c r="G498" s="25"/>
      <c r="H498" s="11" t="str">
        <f t="shared" ca="1" si="7"/>
        <v/>
      </c>
    </row>
    <row r="499" spans="1:8" x14ac:dyDescent="0.35">
      <c r="A499" s="25"/>
      <c r="B499" s="15"/>
      <c r="C499" s="15"/>
      <c r="D499" s="15"/>
      <c r="E499" s="18"/>
      <c r="F499" s="15"/>
      <c r="G499" s="25"/>
      <c r="H499" s="11" t="str">
        <f t="shared" ca="1" si="7"/>
        <v/>
      </c>
    </row>
    <row r="500" spans="1:8" x14ac:dyDescent="0.35">
      <c r="A500" s="25"/>
      <c r="B500" s="15"/>
      <c r="C500" s="15"/>
      <c r="D500" s="15"/>
      <c r="E500" s="18"/>
      <c r="F500" s="15"/>
      <c r="G500" s="25"/>
      <c r="H500" s="11" t="str">
        <f t="shared" ca="1" si="7"/>
        <v/>
      </c>
    </row>
    <row r="501" spans="1:8" x14ac:dyDescent="0.35">
      <c r="A501" s="25"/>
      <c r="B501" s="15"/>
      <c r="C501" s="15"/>
      <c r="D501" s="15"/>
      <c r="E501" s="18"/>
      <c r="F501" s="15"/>
      <c r="G501" s="25"/>
      <c r="H501" s="11" t="str">
        <f t="shared" ca="1" si="7"/>
        <v/>
      </c>
    </row>
    <row r="502" spans="1:8" x14ac:dyDescent="0.35">
      <c r="A502" s="25"/>
      <c r="B502" s="15"/>
      <c r="C502" s="15"/>
      <c r="D502" s="15"/>
      <c r="E502" s="18"/>
      <c r="F502" s="15"/>
      <c r="G502" s="25"/>
      <c r="H502" s="11" t="str">
        <f t="shared" ca="1" si="7"/>
        <v/>
      </c>
    </row>
    <row r="503" spans="1:8" x14ac:dyDescent="0.35">
      <c r="A503" s="25"/>
      <c r="B503" s="15"/>
      <c r="C503" s="15"/>
      <c r="D503" s="15"/>
      <c r="E503" s="18"/>
      <c r="F503" s="15"/>
      <c r="G503" s="25"/>
      <c r="H503" s="11" t="str">
        <f t="shared" ca="1" si="7"/>
        <v/>
      </c>
    </row>
    <row r="504" spans="1:8" x14ac:dyDescent="0.35">
      <c r="A504" s="25"/>
      <c r="B504" s="15"/>
      <c r="C504" s="15"/>
      <c r="D504" s="15"/>
      <c r="E504" s="18"/>
      <c r="F504" s="15"/>
      <c r="G504" s="25"/>
      <c r="H504" s="11" t="str">
        <f t="shared" ca="1" si="7"/>
        <v/>
      </c>
    </row>
  </sheetData>
  <conditionalFormatting sqref="A5:A504">
    <cfRule type="expression" dxfId="23" priority="1">
      <formula>AND(OR(A5&lt;&gt;"",B5&lt;&gt;"",C5&lt;&gt;"",E5&lt;&gt;"",F5&lt;&gt;"",G5&lt;&gt;""),NOT(ISNUMBER(A5)))</formula>
    </cfRule>
  </conditionalFormatting>
  <conditionalFormatting sqref="A5:H504">
    <cfRule type="expression" dxfId="22" priority="7">
      <formula>AND($F5="Owed",ISNUMBER($G5),$G5&lt;TODAY())</formula>
    </cfRule>
  </conditionalFormatting>
  <conditionalFormatting sqref="E5:E504">
    <cfRule type="expression" dxfId="19" priority="4">
      <formula>AND(OR(A5&lt;&gt;"",B5&lt;&gt;"",C5&lt;&gt;"",E5&lt;&gt;"",F5&lt;&gt;"",G5&lt;&gt;""),NOT(ISNUMBER(E5)))</formula>
    </cfRule>
  </conditionalFormatting>
  <conditionalFormatting sqref="F5:F504">
    <cfRule type="expression" dxfId="18" priority="5">
      <formula>AND(OR(A5&lt;&gt;"",B5&lt;&gt;"",C5&lt;&gt;"",E5&lt;&gt;"",F5&lt;&gt;"",G5&lt;&gt;""),F5&lt;&gt;"Paid",F5&lt;&gt;"Owed")</formula>
    </cfRule>
  </conditionalFormatting>
  <conditionalFormatting sqref="G5:G504">
    <cfRule type="expression" dxfId="17" priority="6">
      <formula>AND(G5&lt;&gt;"",NOT(ISNUMBER(G5)))</formula>
    </cfRule>
  </conditionalFormatting>
  <dataValidations count="3">
    <dataValidation type="list" allowBlank="1" showErrorMessage="1" error="Choose Paid or Owed." sqref="F5:F504" xr:uid="{00000000-0002-0000-0300-000002000000}">
      <formula1>"Paid,Owed"</formula1>
    </dataValidation>
    <dataValidation type="date" operator="greaterThan" allowBlank="1" showErrorMessage="1" errorTitle="Date" error="Enter a real date, e.g. 3/15/2027." sqref="A5:A504 G5:G504" xr:uid="{00000000-0002-0000-0300-000003000000}">
      <formula1>1</formula1>
    </dataValidation>
    <dataValidation type="decimal" allowBlank="1" showErrorMessage="1" errorTitle="Amount" error="Enter a number only. Use a negative number for a refund." sqref="E5:E504" xr:uid="{00000000-0002-0000-0300-000005000000}">
      <formula1>-100000000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AND(OR(A5&lt;&gt;"",B5&lt;&gt;"",C5&lt;&gt;"",E5&lt;&gt;"",F5&lt;&gt;"",G5&lt;&gt;""),COUNTIF(Lists!$A$2:$A$21,B5)=0)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B5:B504</xm:sqref>
        </x14:conditionalFormatting>
        <x14:conditionalFormatting xmlns:xm="http://schemas.microsoft.com/office/excel/2006/main">
          <x14:cfRule type="expression" priority="3" id="{00000000-000E-0000-0300-000003000000}">
            <xm:f>AND(C5&lt;&gt;"",COUNTIF(Lists!$C$2:$C$41,C5)=0)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C5:C504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ick a category from the Budget tab list." xr:uid="{00000000-0002-0000-0300-000000000000}">
          <x14:formula1>
            <xm:f>Lists!$B$2:$B$21</xm:f>
          </x14:formula1>
          <xm:sqref>B5:B504</xm:sqref>
        </x14:dataValidation>
        <x14:dataValidation type="list" allowBlank="1" showErrorMessage="1" error="Pick a vendor from the Vendors tab (add them there first), or leave blank." xr:uid="{00000000-0002-0000-0300-000001000000}">
          <x14:formula1>
            <xm:f>Lists!$D$2:$D$41</xm:f>
          </x14:formula1>
          <xm:sqref>C5:C504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4A5A"/>
  </sheetPr>
  <dimension ref="A1:L4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20" customWidth="1"/>
    <col min="3" max="3" width="16" customWidth="1"/>
    <col min="4" max="4" width="14" customWidth="1"/>
    <col min="5" max="5" width="30" customWidth="1"/>
    <col min="6" max="7" width="12" customWidth="1"/>
    <col min="8" max="8" width="11" customWidth="1"/>
    <col min="9" max="11" width="12" customWidth="1"/>
    <col min="12" max="12" width="30" customWidth="1"/>
  </cols>
  <sheetData>
    <row r="1" spans="1:12" ht="23" x14ac:dyDescent="0.5">
      <c r="A1" s="1" t="s">
        <v>100</v>
      </c>
    </row>
    <row r="2" spans="1:12" x14ac:dyDescent="0.35">
      <c r="A2" s="2" t="s">
        <v>101</v>
      </c>
      <c r="J2" s="11" t="s">
        <v>56</v>
      </c>
      <c r="K2" s="11">
        <f>SUMPRODUCT((((Vendors!$A$5:$A$44&lt;&gt;"")+(Vendors!$B$5:$B$44&lt;&gt;"")+(Vendors!$C$5:$C$44&lt;&gt;"")+(Vendors!$D$5:$D$44&lt;&gt;"")+(Vendors!$E$5:$E$44&lt;&gt;"")+(Vendors!$F$5:$F$44&lt;&gt;"")+(Vendors!$G$5:$G$44&lt;&gt;"")+(Vendors!$H$5:$H$44&lt;&gt;""))&gt;0)*(((Vendors!$A$5:$A$44&lt;&gt;"")*(((Vendors!$B$5:$B$44="")+ISNUMBER(MATCH(Vendors!$B$5:$B$44,Lists!$A$2:$A$21,0)))&gt;0)*(((Vendors!$F$5:$F$44="")+ISNUMBER(MATCH(Vendors!$F$5:$F$44,Lists!$F$2:$F$5,0)))&gt;0)*(((Vendors!$G$5:$G$44="")+ISNUMBER(Vendors!$G$5:$G$44))&gt;0)*(((Vendors!$H$5:$H$44="")+ISNUMBER(Vendors!$H$5:$H$44))&gt;0)*(Vendors!$G$5:$G$44&gt;=0)*(Vendors!$H$5:$H$44&gt;=0))=0))</f>
        <v>0</v>
      </c>
    </row>
    <row r="3" spans="1:12" x14ac:dyDescent="0.35">
      <c r="A3" s="11" t="s">
        <v>102</v>
      </c>
    </row>
    <row r="4" spans="1:12" ht="30" customHeight="1" x14ac:dyDescent="0.35">
      <c r="A4" s="14" t="s">
        <v>53</v>
      </c>
      <c r="B4" s="14" t="s">
        <v>30</v>
      </c>
      <c r="C4" s="14" t="s">
        <v>103</v>
      </c>
      <c r="D4" s="14" t="s">
        <v>104</v>
      </c>
      <c r="E4" s="14" t="s">
        <v>105</v>
      </c>
      <c r="F4" s="14" t="s">
        <v>49</v>
      </c>
      <c r="G4" s="14" t="s">
        <v>106</v>
      </c>
      <c r="H4" s="14" t="s">
        <v>107</v>
      </c>
      <c r="I4" s="14" t="s">
        <v>108</v>
      </c>
      <c r="J4" s="14" t="s">
        <v>109</v>
      </c>
      <c r="K4" s="14" t="s">
        <v>110</v>
      </c>
      <c r="L4" s="14" t="s">
        <v>111</v>
      </c>
    </row>
    <row r="5" spans="1:12" x14ac:dyDescent="0.35">
      <c r="A5" s="15" t="s">
        <v>97</v>
      </c>
      <c r="B5" s="15" t="s">
        <v>68</v>
      </c>
      <c r="C5" s="15" t="s">
        <v>112</v>
      </c>
      <c r="D5" s="15" t="s">
        <v>113</v>
      </c>
      <c r="E5" s="15" t="s">
        <v>114</v>
      </c>
      <c r="F5" s="15" t="s">
        <v>115</v>
      </c>
      <c r="G5" s="18">
        <v>12000</v>
      </c>
      <c r="H5" s="18">
        <v>3000</v>
      </c>
      <c r="I5" s="19">
        <f>IF(A5="","",Calc!D60)</f>
        <v>3000</v>
      </c>
      <c r="J5" s="19">
        <f>IF(A5="","",IF(ISNUMBER(G5),G5-I5,Calc!E60))</f>
        <v>9000</v>
      </c>
      <c r="K5" s="26">
        <f>IF(OR(A5="",Calc!F60=0),"",Calc!F60)</f>
        <v>46508</v>
      </c>
      <c r="L5" s="15"/>
    </row>
    <row r="6" spans="1:12" x14ac:dyDescent="0.35">
      <c r="A6" s="15"/>
      <c r="B6" s="15"/>
      <c r="C6" s="15"/>
      <c r="D6" s="15"/>
      <c r="E6" s="15"/>
      <c r="F6" s="15"/>
      <c r="G6" s="18"/>
      <c r="H6" s="18"/>
      <c r="I6" s="19" t="str">
        <f>IF(A6="","",Calc!D61)</f>
        <v/>
      </c>
      <c r="J6" s="19" t="str">
        <f>IF(A6="","",IF(ISNUMBER(G6),G6-I6,Calc!E61))</f>
        <v/>
      </c>
      <c r="K6" s="26" t="str">
        <f>IF(OR(A6="",Calc!F61=0),"",Calc!F61)</f>
        <v/>
      </c>
      <c r="L6" s="15"/>
    </row>
    <row r="7" spans="1:12" x14ac:dyDescent="0.35">
      <c r="A7" s="15"/>
      <c r="B7" s="15"/>
      <c r="C7" s="15"/>
      <c r="D7" s="15"/>
      <c r="E7" s="15"/>
      <c r="F7" s="15"/>
      <c r="G7" s="18"/>
      <c r="H7" s="18"/>
      <c r="I7" s="19" t="str">
        <f>IF(A7="","",Calc!D62)</f>
        <v/>
      </c>
      <c r="J7" s="19" t="str">
        <f>IF(A7="","",IF(ISNUMBER(G7),G7-I7,Calc!E62))</f>
        <v/>
      </c>
      <c r="K7" s="26" t="str">
        <f>IF(OR(A7="",Calc!F62=0),"",Calc!F62)</f>
        <v/>
      </c>
      <c r="L7" s="15"/>
    </row>
    <row r="8" spans="1:12" x14ac:dyDescent="0.35">
      <c r="A8" s="15"/>
      <c r="B8" s="15"/>
      <c r="C8" s="15"/>
      <c r="D8" s="15"/>
      <c r="E8" s="15"/>
      <c r="F8" s="15"/>
      <c r="G8" s="18"/>
      <c r="H8" s="18"/>
      <c r="I8" s="19" t="str">
        <f>IF(A8="","",Calc!D63)</f>
        <v/>
      </c>
      <c r="J8" s="19" t="str">
        <f>IF(A8="","",IF(ISNUMBER(G8),G8-I8,Calc!E63))</f>
        <v/>
      </c>
      <c r="K8" s="26" t="str">
        <f>IF(OR(A8="",Calc!F63=0),"",Calc!F63)</f>
        <v/>
      </c>
      <c r="L8" s="15"/>
    </row>
    <row r="9" spans="1:12" x14ac:dyDescent="0.35">
      <c r="A9" s="15"/>
      <c r="B9" s="15"/>
      <c r="C9" s="15"/>
      <c r="D9" s="15"/>
      <c r="E9" s="15"/>
      <c r="F9" s="15"/>
      <c r="G9" s="18"/>
      <c r="H9" s="18"/>
      <c r="I9" s="19" t="str">
        <f>IF(A9="","",Calc!D64)</f>
        <v/>
      </c>
      <c r="J9" s="19" t="str">
        <f>IF(A9="","",IF(ISNUMBER(G9),G9-I9,Calc!E64))</f>
        <v/>
      </c>
      <c r="K9" s="26" t="str">
        <f>IF(OR(A9="",Calc!F64=0),"",Calc!F64)</f>
        <v/>
      </c>
      <c r="L9" s="15"/>
    </row>
    <row r="10" spans="1:12" x14ac:dyDescent="0.35">
      <c r="A10" s="15"/>
      <c r="B10" s="15"/>
      <c r="C10" s="15"/>
      <c r="D10" s="15"/>
      <c r="E10" s="15"/>
      <c r="F10" s="15"/>
      <c r="G10" s="18"/>
      <c r="H10" s="18"/>
      <c r="I10" s="19" t="str">
        <f>IF(A10="","",Calc!D65)</f>
        <v/>
      </c>
      <c r="J10" s="19" t="str">
        <f>IF(A10="","",IF(ISNUMBER(G10),G10-I10,Calc!E65))</f>
        <v/>
      </c>
      <c r="K10" s="26" t="str">
        <f>IF(OR(A10="",Calc!F65=0),"",Calc!F65)</f>
        <v/>
      </c>
      <c r="L10" s="15"/>
    </row>
    <row r="11" spans="1:12" x14ac:dyDescent="0.35">
      <c r="A11" s="15"/>
      <c r="B11" s="15"/>
      <c r="C11" s="15"/>
      <c r="D11" s="15"/>
      <c r="E11" s="15"/>
      <c r="F11" s="15"/>
      <c r="G11" s="18"/>
      <c r="H11" s="18"/>
      <c r="I11" s="19" t="str">
        <f>IF(A11="","",Calc!D66)</f>
        <v/>
      </c>
      <c r="J11" s="19" t="str">
        <f>IF(A11="","",IF(ISNUMBER(G11),G11-I11,Calc!E66))</f>
        <v/>
      </c>
      <c r="K11" s="26" t="str">
        <f>IF(OR(A11="",Calc!F66=0),"",Calc!F66)</f>
        <v/>
      </c>
      <c r="L11" s="15"/>
    </row>
    <row r="12" spans="1:12" x14ac:dyDescent="0.35">
      <c r="A12" s="15"/>
      <c r="B12" s="15"/>
      <c r="C12" s="15"/>
      <c r="D12" s="15"/>
      <c r="E12" s="15"/>
      <c r="F12" s="15"/>
      <c r="G12" s="18"/>
      <c r="H12" s="18"/>
      <c r="I12" s="19" t="str">
        <f>IF(A12="","",Calc!D67)</f>
        <v/>
      </c>
      <c r="J12" s="19" t="str">
        <f>IF(A12="","",IF(ISNUMBER(G12),G12-I12,Calc!E67))</f>
        <v/>
      </c>
      <c r="K12" s="26" t="str">
        <f>IF(OR(A12="",Calc!F67=0),"",Calc!F67)</f>
        <v/>
      </c>
      <c r="L12" s="15"/>
    </row>
    <row r="13" spans="1:12" x14ac:dyDescent="0.35">
      <c r="A13" s="15"/>
      <c r="B13" s="15"/>
      <c r="C13" s="15"/>
      <c r="D13" s="15"/>
      <c r="E13" s="15"/>
      <c r="F13" s="15"/>
      <c r="G13" s="18"/>
      <c r="H13" s="18"/>
      <c r="I13" s="19" t="str">
        <f>IF(A13="","",Calc!D68)</f>
        <v/>
      </c>
      <c r="J13" s="19" t="str">
        <f>IF(A13="","",IF(ISNUMBER(G13),G13-I13,Calc!E68))</f>
        <v/>
      </c>
      <c r="K13" s="26" t="str">
        <f>IF(OR(A13="",Calc!F68=0),"",Calc!F68)</f>
        <v/>
      </c>
      <c r="L13" s="15"/>
    </row>
    <row r="14" spans="1:12" x14ac:dyDescent="0.35">
      <c r="A14" s="15"/>
      <c r="B14" s="15"/>
      <c r="C14" s="15"/>
      <c r="D14" s="15"/>
      <c r="E14" s="15"/>
      <c r="F14" s="15"/>
      <c r="G14" s="18"/>
      <c r="H14" s="18"/>
      <c r="I14" s="19" t="str">
        <f>IF(A14="","",Calc!D69)</f>
        <v/>
      </c>
      <c r="J14" s="19" t="str">
        <f>IF(A14="","",IF(ISNUMBER(G14),G14-I14,Calc!E69))</f>
        <v/>
      </c>
      <c r="K14" s="26" t="str">
        <f>IF(OR(A14="",Calc!F69=0),"",Calc!F69)</f>
        <v/>
      </c>
      <c r="L14" s="15"/>
    </row>
    <row r="15" spans="1:12" x14ac:dyDescent="0.35">
      <c r="A15" s="15"/>
      <c r="B15" s="15"/>
      <c r="C15" s="15"/>
      <c r="D15" s="15"/>
      <c r="E15" s="15"/>
      <c r="F15" s="15"/>
      <c r="G15" s="18"/>
      <c r="H15" s="18"/>
      <c r="I15" s="19" t="str">
        <f>IF(A15="","",Calc!D70)</f>
        <v/>
      </c>
      <c r="J15" s="19" t="str">
        <f>IF(A15="","",IF(ISNUMBER(G15),G15-I15,Calc!E70))</f>
        <v/>
      </c>
      <c r="K15" s="26" t="str">
        <f>IF(OR(A15="",Calc!F70=0),"",Calc!F70)</f>
        <v/>
      </c>
      <c r="L15" s="15"/>
    </row>
    <row r="16" spans="1:12" x14ac:dyDescent="0.35">
      <c r="A16" s="15"/>
      <c r="B16" s="15"/>
      <c r="C16" s="15"/>
      <c r="D16" s="15"/>
      <c r="E16" s="15"/>
      <c r="F16" s="15"/>
      <c r="G16" s="18"/>
      <c r="H16" s="18"/>
      <c r="I16" s="19" t="str">
        <f>IF(A16="","",Calc!D71)</f>
        <v/>
      </c>
      <c r="J16" s="19" t="str">
        <f>IF(A16="","",IF(ISNUMBER(G16),G16-I16,Calc!E71))</f>
        <v/>
      </c>
      <c r="K16" s="26" t="str">
        <f>IF(OR(A16="",Calc!F71=0),"",Calc!F71)</f>
        <v/>
      </c>
      <c r="L16" s="15"/>
    </row>
    <row r="17" spans="1:12" x14ac:dyDescent="0.35">
      <c r="A17" s="15"/>
      <c r="B17" s="15"/>
      <c r="C17" s="15"/>
      <c r="D17" s="15"/>
      <c r="E17" s="15"/>
      <c r="F17" s="15"/>
      <c r="G17" s="18"/>
      <c r="H17" s="18"/>
      <c r="I17" s="19" t="str">
        <f>IF(A17="","",Calc!D72)</f>
        <v/>
      </c>
      <c r="J17" s="19" t="str">
        <f>IF(A17="","",IF(ISNUMBER(G17),G17-I17,Calc!E72))</f>
        <v/>
      </c>
      <c r="K17" s="26" t="str">
        <f>IF(OR(A17="",Calc!F72=0),"",Calc!F72)</f>
        <v/>
      </c>
      <c r="L17" s="15"/>
    </row>
    <row r="18" spans="1:12" x14ac:dyDescent="0.35">
      <c r="A18" s="15"/>
      <c r="B18" s="15"/>
      <c r="C18" s="15"/>
      <c r="D18" s="15"/>
      <c r="E18" s="15"/>
      <c r="F18" s="15"/>
      <c r="G18" s="18"/>
      <c r="H18" s="18"/>
      <c r="I18" s="19" t="str">
        <f>IF(A18="","",Calc!D73)</f>
        <v/>
      </c>
      <c r="J18" s="19" t="str">
        <f>IF(A18="","",IF(ISNUMBER(G18),G18-I18,Calc!E73))</f>
        <v/>
      </c>
      <c r="K18" s="26" t="str">
        <f>IF(OR(A18="",Calc!F73=0),"",Calc!F73)</f>
        <v/>
      </c>
      <c r="L18" s="15"/>
    </row>
    <row r="19" spans="1:12" x14ac:dyDescent="0.35">
      <c r="A19" s="15"/>
      <c r="B19" s="15"/>
      <c r="C19" s="15"/>
      <c r="D19" s="15"/>
      <c r="E19" s="15"/>
      <c r="F19" s="15"/>
      <c r="G19" s="18"/>
      <c r="H19" s="18"/>
      <c r="I19" s="19" t="str">
        <f>IF(A19="","",Calc!D74)</f>
        <v/>
      </c>
      <c r="J19" s="19" t="str">
        <f>IF(A19="","",IF(ISNUMBER(G19),G19-I19,Calc!E74))</f>
        <v/>
      </c>
      <c r="K19" s="26" t="str">
        <f>IF(OR(A19="",Calc!F74=0),"",Calc!F74)</f>
        <v/>
      </c>
      <c r="L19" s="15"/>
    </row>
    <row r="20" spans="1:12" x14ac:dyDescent="0.35">
      <c r="A20" s="15"/>
      <c r="B20" s="15"/>
      <c r="C20" s="15"/>
      <c r="D20" s="15"/>
      <c r="E20" s="15"/>
      <c r="F20" s="15"/>
      <c r="G20" s="18"/>
      <c r="H20" s="18"/>
      <c r="I20" s="19" t="str">
        <f>IF(A20="","",Calc!D75)</f>
        <v/>
      </c>
      <c r="J20" s="19" t="str">
        <f>IF(A20="","",IF(ISNUMBER(G20),G20-I20,Calc!E75))</f>
        <v/>
      </c>
      <c r="K20" s="26" t="str">
        <f>IF(OR(A20="",Calc!F75=0),"",Calc!F75)</f>
        <v/>
      </c>
      <c r="L20" s="15"/>
    </row>
    <row r="21" spans="1:12" x14ac:dyDescent="0.35">
      <c r="A21" s="15"/>
      <c r="B21" s="15"/>
      <c r="C21" s="15"/>
      <c r="D21" s="15"/>
      <c r="E21" s="15"/>
      <c r="F21" s="15"/>
      <c r="G21" s="18"/>
      <c r="H21" s="18"/>
      <c r="I21" s="19" t="str">
        <f>IF(A21="","",Calc!D76)</f>
        <v/>
      </c>
      <c r="J21" s="19" t="str">
        <f>IF(A21="","",IF(ISNUMBER(G21),G21-I21,Calc!E76))</f>
        <v/>
      </c>
      <c r="K21" s="26" t="str">
        <f>IF(OR(A21="",Calc!F76=0),"",Calc!F76)</f>
        <v/>
      </c>
      <c r="L21" s="15"/>
    </row>
    <row r="22" spans="1:12" x14ac:dyDescent="0.35">
      <c r="A22" s="15"/>
      <c r="B22" s="15"/>
      <c r="C22" s="15"/>
      <c r="D22" s="15"/>
      <c r="E22" s="15"/>
      <c r="F22" s="15"/>
      <c r="G22" s="18"/>
      <c r="H22" s="18"/>
      <c r="I22" s="19" t="str">
        <f>IF(A22="","",Calc!D77)</f>
        <v/>
      </c>
      <c r="J22" s="19" t="str">
        <f>IF(A22="","",IF(ISNUMBER(G22),G22-I22,Calc!E77))</f>
        <v/>
      </c>
      <c r="K22" s="26" t="str">
        <f>IF(OR(A22="",Calc!F77=0),"",Calc!F77)</f>
        <v/>
      </c>
      <c r="L22" s="15"/>
    </row>
    <row r="23" spans="1:12" x14ac:dyDescent="0.35">
      <c r="A23" s="15"/>
      <c r="B23" s="15"/>
      <c r="C23" s="15"/>
      <c r="D23" s="15"/>
      <c r="E23" s="15"/>
      <c r="F23" s="15"/>
      <c r="G23" s="18"/>
      <c r="H23" s="18"/>
      <c r="I23" s="19" t="str">
        <f>IF(A23="","",Calc!D78)</f>
        <v/>
      </c>
      <c r="J23" s="19" t="str">
        <f>IF(A23="","",IF(ISNUMBER(G23),G23-I23,Calc!E78))</f>
        <v/>
      </c>
      <c r="K23" s="26" t="str">
        <f>IF(OR(A23="",Calc!F78=0),"",Calc!F78)</f>
        <v/>
      </c>
      <c r="L23" s="15"/>
    </row>
    <row r="24" spans="1:12" x14ac:dyDescent="0.35">
      <c r="A24" s="15"/>
      <c r="B24" s="15"/>
      <c r="C24" s="15"/>
      <c r="D24" s="15"/>
      <c r="E24" s="15"/>
      <c r="F24" s="15"/>
      <c r="G24" s="18"/>
      <c r="H24" s="18"/>
      <c r="I24" s="19" t="str">
        <f>IF(A24="","",Calc!D79)</f>
        <v/>
      </c>
      <c r="J24" s="19" t="str">
        <f>IF(A24="","",IF(ISNUMBER(G24),G24-I24,Calc!E79))</f>
        <v/>
      </c>
      <c r="K24" s="26" t="str">
        <f>IF(OR(A24="",Calc!F79=0),"",Calc!F79)</f>
        <v/>
      </c>
      <c r="L24" s="15"/>
    </row>
    <row r="25" spans="1:12" x14ac:dyDescent="0.35">
      <c r="A25" s="15"/>
      <c r="B25" s="15"/>
      <c r="C25" s="15"/>
      <c r="D25" s="15"/>
      <c r="E25" s="15"/>
      <c r="F25" s="15"/>
      <c r="G25" s="18"/>
      <c r="H25" s="18"/>
      <c r="I25" s="19" t="str">
        <f>IF(A25="","",Calc!D80)</f>
        <v/>
      </c>
      <c r="J25" s="19" t="str">
        <f>IF(A25="","",IF(ISNUMBER(G25),G25-I25,Calc!E80))</f>
        <v/>
      </c>
      <c r="K25" s="26" t="str">
        <f>IF(OR(A25="",Calc!F80=0),"",Calc!F80)</f>
        <v/>
      </c>
      <c r="L25" s="15"/>
    </row>
    <row r="26" spans="1:12" x14ac:dyDescent="0.35">
      <c r="A26" s="15"/>
      <c r="B26" s="15"/>
      <c r="C26" s="15"/>
      <c r="D26" s="15"/>
      <c r="E26" s="15"/>
      <c r="F26" s="15"/>
      <c r="G26" s="18"/>
      <c r="H26" s="18"/>
      <c r="I26" s="19" t="str">
        <f>IF(A26="","",Calc!D81)</f>
        <v/>
      </c>
      <c r="J26" s="19" t="str">
        <f>IF(A26="","",IF(ISNUMBER(G26),G26-I26,Calc!E81))</f>
        <v/>
      </c>
      <c r="K26" s="26" t="str">
        <f>IF(OR(A26="",Calc!F81=0),"",Calc!F81)</f>
        <v/>
      </c>
      <c r="L26" s="15"/>
    </row>
    <row r="27" spans="1:12" x14ac:dyDescent="0.35">
      <c r="A27" s="15"/>
      <c r="B27" s="15"/>
      <c r="C27" s="15"/>
      <c r="D27" s="15"/>
      <c r="E27" s="15"/>
      <c r="F27" s="15"/>
      <c r="G27" s="18"/>
      <c r="H27" s="18"/>
      <c r="I27" s="19" t="str">
        <f>IF(A27="","",Calc!D82)</f>
        <v/>
      </c>
      <c r="J27" s="19" t="str">
        <f>IF(A27="","",IF(ISNUMBER(G27),G27-I27,Calc!E82))</f>
        <v/>
      </c>
      <c r="K27" s="26" t="str">
        <f>IF(OR(A27="",Calc!F82=0),"",Calc!F82)</f>
        <v/>
      </c>
      <c r="L27" s="15"/>
    </row>
    <row r="28" spans="1:12" x14ac:dyDescent="0.35">
      <c r="A28" s="15"/>
      <c r="B28" s="15"/>
      <c r="C28" s="15"/>
      <c r="D28" s="15"/>
      <c r="E28" s="15"/>
      <c r="F28" s="15"/>
      <c r="G28" s="18"/>
      <c r="H28" s="18"/>
      <c r="I28" s="19" t="str">
        <f>IF(A28="","",Calc!D83)</f>
        <v/>
      </c>
      <c r="J28" s="19" t="str">
        <f>IF(A28="","",IF(ISNUMBER(G28),G28-I28,Calc!E83))</f>
        <v/>
      </c>
      <c r="K28" s="26" t="str">
        <f>IF(OR(A28="",Calc!F83=0),"",Calc!F83)</f>
        <v/>
      </c>
      <c r="L28" s="15"/>
    </row>
    <row r="29" spans="1:12" x14ac:dyDescent="0.35">
      <c r="A29" s="15"/>
      <c r="B29" s="15"/>
      <c r="C29" s="15"/>
      <c r="D29" s="15"/>
      <c r="E29" s="15"/>
      <c r="F29" s="15"/>
      <c r="G29" s="18"/>
      <c r="H29" s="18"/>
      <c r="I29" s="19" t="str">
        <f>IF(A29="","",Calc!D84)</f>
        <v/>
      </c>
      <c r="J29" s="19" t="str">
        <f>IF(A29="","",IF(ISNUMBER(G29),G29-I29,Calc!E84))</f>
        <v/>
      </c>
      <c r="K29" s="26" t="str">
        <f>IF(OR(A29="",Calc!F84=0),"",Calc!F84)</f>
        <v/>
      </c>
      <c r="L29" s="15"/>
    </row>
    <row r="30" spans="1:12" x14ac:dyDescent="0.35">
      <c r="A30" s="15"/>
      <c r="B30" s="15"/>
      <c r="C30" s="15"/>
      <c r="D30" s="15"/>
      <c r="E30" s="15"/>
      <c r="F30" s="15"/>
      <c r="G30" s="18"/>
      <c r="H30" s="18"/>
      <c r="I30" s="19" t="str">
        <f>IF(A30="","",Calc!D85)</f>
        <v/>
      </c>
      <c r="J30" s="19" t="str">
        <f>IF(A30="","",IF(ISNUMBER(G30),G30-I30,Calc!E85))</f>
        <v/>
      </c>
      <c r="K30" s="26" t="str">
        <f>IF(OR(A30="",Calc!F85=0),"",Calc!F85)</f>
        <v/>
      </c>
      <c r="L30" s="15"/>
    </row>
    <row r="31" spans="1:12" x14ac:dyDescent="0.35">
      <c r="A31" s="15"/>
      <c r="B31" s="15"/>
      <c r="C31" s="15"/>
      <c r="D31" s="15"/>
      <c r="E31" s="15"/>
      <c r="F31" s="15"/>
      <c r="G31" s="18"/>
      <c r="H31" s="18"/>
      <c r="I31" s="19" t="str">
        <f>IF(A31="","",Calc!D86)</f>
        <v/>
      </c>
      <c r="J31" s="19" t="str">
        <f>IF(A31="","",IF(ISNUMBER(G31),G31-I31,Calc!E86))</f>
        <v/>
      </c>
      <c r="K31" s="26" t="str">
        <f>IF(OR(A31="",Calc!F86=0),"",Calc!F86)</f>
        <v/>
      </c>
      <c r="L31" s="15"/>
    </row>
    <row r="32" spans="1:12" x14ac:dyDescent="0.35">
      <c r="A32" s="15"/>
      <c r="B32" s="15"/>
      <c r="C32" s="15"/>
      <c r="D32" s="15"/>
      <c r="E32" s="15"/>
      <c r="F32" s="15"/>
      <c r="G32" s="18"/>
      <c r="H32" s="18"/>
      <c r="I32" s="19" t="str">
        <f>IF(A32="","",Calc!D87)</f>
        <v/>
      </c>
      <c r="J32" s="19" t="str">
        <f>IF(A32="","",IF(ISNUMBER(G32),G32-I32,Calc!E87))</f>
        <v/>
      </c>
      <c r="K32" s="26" t="str">
        <f>IF(OR(A32="",Calc!F87=0),"",Calc!F87)</f>
        <v/>
      </c>
      <c r="L32" s="15"/>
    </row>
    <row r="33" spans="1:12" x14ac:dyDescent="0.35">
      <c r="A33" s="15"/>
      <c r="B33" s="15"/>
      <c r="C33" s="15"/>
      <c r="D33" s="15"/>
      <c r="E33" s="15"/>
      <c r="F33" s="15"/>
      <c r="G33" s="18"/>
      <c r="H33" s="18"/>
      <c r="I33" s="19" t="str">
        <f>IF(A33="","",Calc!D88)</f>
        <v/>
      </c>
      <c r="J33" s="19" t="str">
        <f>IF(A33="","",IF(ISNUMBER(G33),G33-I33,Calc!E88))</f>
        <v/>
      </c>
      <c r="K33" s="26" t="str">
        <f>IF(OR(A33="",Calc!F88=0),"",Calc!F88)</f>
        <v/>
      </c>
      <c r="L33" s="15"/>
    </row>
    <row r="34" spans="1:12" x14ac:dyDescent="0.35">
      <c r="A34" s="15"/>
      <c r="B34" s="15"/>
      <c r="C34" s="15"/>
      <c r="D34" s="15"/>
      <c r="E34" s="15"/>
      <c r="F34" s="15"/>
      <c r="G34" s="18"/>
      <c r="H34" s="18"/>
      <c r="I34" s="19" t="str">
        <f>IF(A34="","",Calc!D89)</f>
        <v/>
      </c>
      <c r="J34" s="19" t="str">
        <f>IF(A34="","",IF(ISNUMBER(G34),G34-I34,Calc!E89))</f>
        <v/>
      </c>
      <c r="K34" s="26" t="str">
        <f>IF(OR(A34="",Calc!F89=0),"",Calc!F89)</f>
        <v/>
      </c>
      <c r="L34" s="15"/>
    </row>
    <row r="35" spans="1:12" x14ac:dyDescent="0.35">
      <c r="A35" s="15"/>
      <c r="B35" s="15"/>
      <c r="C35" s="15"/>
      <c r="D35" s="15"/>
      <c r="E35" s="15"/>
      <c r="F35" s="15"/>
      <c r="G35" s="18"/>
      <c r="H35" s="18"/>
      <c r="I35" s="19" t="str">
        <f>IF(A35="","",Calc!D90)</f>
        <v/>
      </c>
      <c r="J35" s="19" t="str">
        <f>IF(A35="","",IF(ISNUMBER(G35),G35-I35,Calc!E90))</f>
        <v/>
      </c>
      <c r="K35" s="26" t="str">
        <f>IF(OR(A35="",Calc!F90=0),"",Calc!F90)</f>
        <v/>
      </c>
      <c r="L35" s="15"/>
    </row>
    <row r="36" spans="1:12" x14ac:dyDescent="0.35">
      <c r="A36" s="15"/>
      <c r="B36" s="15"/>
      <c r="C36" s="15"/>
      <c r="D36" s="15"/>
      <c r="E36" s="15"/>
      <c r="F36" s="15"/>
      <c r="G36" s="18"/>
      <c r="H36" s="18"/>
      <c r="I36" s="19" t="str">
        <f>IF(A36="","",Calc!D91)</f>
        <v/>
      </c>
      <c r="J36" s="19" t="str">
        <f>IF(A36="","",IF(ISNUMBER(G36),G36-I36,Calc!E91))</f>
        <v/>
      </c>
      <c r="K36" s="26" t="str">
        <f>IF(OR(A36="",Calc!F91=0),"",Calc!F91)</f>
        <v/>
      </c>
      <c r="L36" s="15"/>
    </row>
    <row r="37" spans="1:12" x14ac:dyDescent="0.35">
      <c r="A37" s="15"/>
      <c r="B37" s="15"/>
      <c r="C37" s="15"/>
      <c r="D37" s="15"/>
      <c r="E37" s="15"/>
      <c r="F37" s="15"/>
      <c r="G37" s="18"/>
      <c r="H37" s="18"/>
      <c r="I37" s="19" t="str">
        <f>IF(A37="","",Calc!D92)</f>
        <v/>
      </c>
      <c r="J37" s="19" t="str">
        <f>IF(A37="","",IF(ISNUMBER(G37),G37-I37,Calc!E92))</f>
        <v/>
      </c>
      <c r="K37" s="26" t="str">
        <f>IF(OR(A37="",Calc!F92=0),"",Calc!F92)</f>
        <v/>
      </c>
      <c r="L37" s="15"/>
    </row>
    <row r="38" spans="1:12" x14ac:dyDescent="0.35">
      <c r="A38" s="15"/>
      <c r="B38" s="15"/>
      <c r="C38" s="15"/>
      <c r="D38" s="15"/>
      <c r="E38" s="15"/>
      <c r="F38" s="15"/>
      <c r="G38" s="18"/>
      <c r="H38" s="18"/>
      <c r="I38" s="19" t="str">
        <f>IF(A38="","",Calc!D93)</f>
        <v/>
      </c>
      <c r="J38" s="19" t="str">
        <f>IF(A38="","",IF(ISNUMBER(G38),G38-I38,Calc!E93))</f>
        <v/>
      </c>
      <c r="K38" s="26" t="str">
        <f>IF(OR(A38="",Calc!F93=0),"",Calc!F93)</f>
        <v/>
      </c>
      <c r="L38" s="15"/>
    </row>
    <row r="39" spans="1:12" x14ac:dyDescent="0.35">
      <c r="A39" s="15"/>
      <c r="B39" s="15"/>
      <c r="C39" s="15"/>
      <c r="D39" s="15"/>
      <c r="E39" s="15"/>
      <c r="F39" s="15"/>
      <c r="G39" s="18"/>
      <c r="H39" s="18"/>
      <c r="I39" s="19" t="str">
        <f>IF(A39="","",Calc!D94)</f>
        <v/>
      </c>
      <c r="J39" s="19" t="str">
        <f>IF(A39="","",IF(ISNUMBER(G39),G39-I39,Calc!E94))</f>
        <v/>
      </c>
      <c r="K39" s="26" t="str">
        <f>IF(OR(A39="",Calc!F94=0),"",Calc!F94)</f>
        <v/>
      </c>
      <c r="L39" s="15"/>
    </row>
    <row r="40" spans="1:12" x14ac:dyDescent="0.35">
      <c r="A40" s="15"/>
      <c r="B40" s="15"/>
      <c r="C40" s="15"/>
      <c r="D40" s="15"/>
      <c r="E40" s="15"/>
      <c r="F40" s="15"/>
      <c r="G40" s="18"/>
      <c r="H40" s="18"/>
      <c r="I40" s="19" t="str">
        <f>IF(A40="","",Calc!D95)</f>
        <v/>
      </c>
      <c r="J40" s="19" t="str">
        <f>IF(A40="","",IF(ISNUMBER(G40),G40-I40,Calc!E95))</f>
        <v/>
      </c>
      <c r="K40" s="26" t="str">
        <f>IF(OR(A40="",Calc!F95=0),"",Calc!F95)</f>
        <v/>
      </c>
      <c r="L40" s="15"/>
    </row>
    <row r="41" spans="1:12" x14ac:dyDescent="0.35">
      <c r="A41" s="15"/>
      <c r="B41" s="15"/>
      <c r="C41" s="15"/>
      <c r="D41" s="15"/>
      <c r="E41" s="15"/>
      <c r="F41" s="15"/>
      <c r="G41" s="18"/>
      <c r="H41" s="18"/>
      <c r="I41" s="19" t="str">
        <f>IF(A41="","",Calc!D96)</f>
        <v/>
      </c>
      <c r="J41" s="19" t="str">
        <f>IF(A41="","",IF(ISNUMBER(G41),G41-I41,Calc!E96))</f>
        <v/>
      </c>
      <c r="K41" s="26" t="str">
        <f>IF(OR(A41="",Calc!F96=0),"",Calc!F96)</f>
        <v/>
      </c>
      <c r="L41" s="15"/>
    </row>
    <row r="42" spans="1:12" x14ac:dyDescent="0.35">
      <c r="A42" s="15"/>
      <c r="B42" s="15"/>
      <c r="C42" s="15"/>
      <c r="D42" s="15"/>
      <c r="E42" s="15"/>
      <c r="F42" s="15"/>
      <c r="G42" s="18"/>
      <c r="H42" s="18"/>
      <c r="I42" s="19" t="str">
        <f>IF(A42="","",Calc!D97)</f>
        <v/>
      </c>
      <c r="J42" s="19" t="str">
        <f>IF(A42="","",IF(ISNUMBER(G42),G42-I42,Calc!E97))</f>
        <v/>
      </c>
      <c r="K42" s="26" t="str">
        <f>IF(OR(A42="",Calc!F97=0),"",Calc!F97)</f>
        <v/>
      </c>
      <c r="L42" s="15"/>
    </row>
    <row r="43" spans="1:12" x14ac:dyDescent="0.35">
      <c r="A43" s="15"/>
      <c r="B43" s="15"/>
      <c r="C43" s="15"/>
      <c r="D43" s="15"/>
      <c r="E43" s="15"/>
      <c r="F43" s="15"/>
      <c r="G43" s="18"/>
      <c r="H43" s="18"/>
      <c r="I43" s="19" t="str">
        <f>IF(A43="","",Calc!D98)</f>
        <v/>
      </c>
      <c r="J43" s="19" t="str">
        <f>IF(A43="","",IF(ISNUMBER(G43),G43-I43,Calc!E98))</f>
        <v/>
      </c>
      <c r="K43" s="26" t="str">
        <f>IF(OR(A43="",Calc!F98=0),"",Calc!F98)</f>
        <v/>
      </c>
      <c r="L43" s="15"/>
    </row>
    <row r="44" spans="1:12" x14ac:dyDescent="0.35">
      <c r="A44" s="15"/>
      <c r="B44" s="15"/>
      <c r="C44" s="15"/>
      <c r="D44" s="15"/>
      <c r="E44" s="15"/>
      <c r="F44" s="15"/>
      <c r="G44" s="18"/>
      <c r="H44" s="18"/>
      <c r="I44" s="19" t="str">
        <f>IF(A44="","",Calc!D99)</f>
        <v/>
      </c>
      <c r="J44" s="19" t="str">
        <f>IF(A44="","",IF(ISNUMBER(G44),G44-I44,Calc!E99))</f>
        <v/>
      </c>
      <c r="K44" s="26" t="str">
        <f>IF(OR(A44="",Calc!F99=0),"",Calc!F99)</f>
        <v/>
      </c>
      <c r="L44" s="15"/>
    </row>
  </sheetData>
  <conditionalFormatting sqref="A5:A44">
    <cfRule type="expression" dxfId="16" priority="1">
      <formula>AND(A5="",OR(B5&lt;&gt;"",C5&lt;&gt;"",D5&lt;&gt;"",E5&lt;&gt;"",F5&lt;&gt;"",G5&lt;&gt;"",H5&lt;&gt;""))</formula>
    </cfRule>
  </conditionalFormatting>
  <conditionalFormatting sqref="G5:H44">
    <cfRule type="expression" dxfId="13" priority="4">
      <formula>AND(G5&lt;&gt;"",OR(NOT(ISNUMBER(G5)),N(G5)&lt;0))</formula>
    </cfRule>
  </conditionalFormatting>
  <conditionalFormatting sqref="K5:K44">
    <cfRule type="expression" dxfId="12" priority="5">
      <formula>AND(ISNUMBER(K5),K5&lt;TODAY())</formula>
    </cfRule>
  </conditionalFormatting>
  <dataValidations count="2">
    <dataValidation type="custom" allowBlank="1" showErrorMessage="1" errorTitle="Vendor" error="Each vendor needs a unique name without * ? or ~ characters." sqref="A5:A44" xr:uid="{00000000-0002-0000-0400-000000000000}">
      <formula1>AND(ISERROR(FIND("*",A5)),ISERROR(FIND("?",A5)),ISERROR(FIND("~",A5)),SUMPRODUCT(--($A$5:$A$44=A5))=1)</formula1>
    </dataValidation>
    <dataValidation type="decimal" allowBlank="1" showErrorMessage="1" errorTitle="Amount" error="Enter a number only (no $ sign or text)." sqref="G5:H44" xr:uid="{00000000-0002-0000-0400-000003000000}">
      <formula1>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AND(B5&lt;&gt;"",COUNTIF(Lists!$A$2:$A$21,B5)=0)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B5:B44</xm:sqref>
        </x14:conditionalFormatting>
        <x14:conditionalFormatting xmlns:xm="http://schemas.microsoft.com/office/excel/2006/main">
          <x14:cfRule type="expression" priority="3" id="{00000000-000E-0000-0400-000003000000}">
            <xm:f>AND(F5&lt;&gt;"",COUNTIF(Lists!$F$2:$F$5,F5)=0)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F5:F44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ick a category from the Budget tab list." xr:uid="{00000000-0002-0000-0400-000001000000}">
          <x14:formula1>
            <xm:f>Lists!$B$2:$B$21</xm:f>
          </x14:formula1>
          <xm:sqref>B5:B44</xm:sqref>
        </x14:dataValidation>
        <x14:dataValidation type="list" allowBlank="1" showErrorMessage="1" error="Pick a status from the list." xr:uid="{00000000-0002-0000-0400-000002000000}">
          <x14:formula1>
            <xm:f>Lists!$F$2:$F$5</xm:f>
          </x14:formula1>
          <xm:sqref>F5:F44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4A5A"/>
  </sheetPr>
  <dimension ref="A1:L50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1" customWidth="1"/>
    <col min="3" max="3" width="16" customWidth="1"/>
    <col min="4" max="4" width="10" customWidth="1"/>
    <col min="5" max="5" width="14" customWidth="1"/>
    <col min="6" max="6" width="10" customWidth="1"/>
    <col min="7" max="7" width="14" customWidth="1"/>
    <col min="8" max="8" width="8" customWidth="1"/>
    <col min="9" max="9" width="30" customWidth="1"/>
    <col min="10" max="10" width="3" customWidth="1"/>
    <col min="11" max="11" width="40" customWidth="1"/>
    <col min="12" max="12" width="14" customWidth="1"/>
  </cols>
  <sheetData>
    <row r="1" spans="1:12" ht="23" x14ac:dyDescent="0.5">
      <c r="A1" s="1" t="s">
        <v>116</v>
      </c>
    </row>
    <row r="2" spans="1:12" x14ac:dyDescent="0.35">
      <c r="A2" s="2" t="s">
        <v>117</v>
      </c>
      <c r="G2" s="11" t="s">
        <v>56</v>
      </c>
      <c r="I2" s="27">
        <f>SUMPRODUCT(((($A$5:$A$504&lt;&gt;"")+($B$5:$B$504&lt;&gt;"")+($C$5:$C$504&lt;&gt;"")+($D$5:$D$504&lt;&gt;"")+($E$5:$E$504&lt;&gt;"")+($F$5:$F$504&lt;&gt;"")+($G$5:$G$504&lt;&gt;"")+($H$5:$H$504&lt;&gt;""))&gt;0)*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=0))</f>
        <v>0</v>
      </c>
    </row>
    <row r="3" spans="1:12" x14ac:dyDescent="0.35">
      <c r="A3" s="11" t="s">
        <v>118</v>
      </c>
    </row>
    <row r="4" spans="1:12" x14ac:dyDescent="0.35">
      <c r="A4" s="14" t="s">
        <v>119</v>
      </c>
      <c r="B4" s="14" t="s">
        <v>120</v>
      </c>
      <c r="C4" s="14" t="s">
        <v>121</v>
      </c>
      <c r="D4" s="14" t="s">
        <v>122</v>
      </c>
      <c r="E4" s="14" t="s">
        <v>123</v>
      </c>
      <c r="F4" s="14" t="s">
        <v>124</v>
      </c>
      <c r="G4" s="14" t="s">
        <v>125</v>
      </c>
      <c r="H4" s="14" t="s">
        <v>126</v>
      </c>
      <c r="I4" s="14" t="s">
        <v>127</v>
      </c>
      <c r="K4" s="14" t="s">
        <v>128</v>
      </c>
      <c r="L4" s="14"/>
    </row>
    <row r="5" spans="1:12" x14ac:dyDescent="0.35">
      <c r="A5" s="15" t="s">
        <v>129</v>
      </c>
      <c r="B5" s="15" t="s">
        <v>130</v>
      </c>
      <c r="C5" s="15" t="s">
        <v>131</v>
      </c>
      <c r="D5" s="15" t="s">
        <v>132</v>
      </c>
      <c r="E5" s="15" t="s">
        <v>133</v>
      </c>
      <c r="F5" s="15" t="s">
        <v>132</v>
      </c>
      <c r="G5" s="15" t="s">
        <v>134</v>
      </c>
      <c r="H5" s="15">
        <v>1</v>
      </c>
      <c r="I5" s="15"/>
      <c r="K5" s="28" t="s">
        <v>135</v>
      </c>
      <c r="L5" s="15" t="s">
        <v>130</v>
      </c>
    </row>
    <row r="6" spans="1:12" x14ac:dyDescent="0.35">
      <c r="A6" s="15" t="s">
        <v>136</v>
      </c>
      <c r="B6" s="15" t="s">
        <v>137</v>
      </c>
      <c r="C6" s="15" t="s">
        <v>138</v>
      </c>
      <c r="D6" s="15" t="s">
        <v>139</v>
      </c>
      <c r="E6" s="15"/>
      <c r="F6" s="15" t="s">
        <v>140</v>
      </c>
      <c r="G6" s="15"/>
      <c r="H6" s="15"/>
      <c r="I6" s="15"/>
      <c r="K6" s="28" t="s">
        <v>141</v>
      </c>
      <c r="L6" s="15" t="s">
        <v>137</v>
      </c>
    </row>
    <row r="7" spans="1:12" x14ac:dyDescent="0.35">
      <c r="A7" s="15"/>
      <c r="B7" s="15"/>
      <c r="C7" s="15"/>
      <c r="D7" s="15"/>
      <c r="E7" s="15"/>
      <c r="F7" s="15"/>
      <c r="G7" s="15"/>
      <c r="H7" s="15"/>
      <c r="I7" s="15"/>
      <c r="K7" s="28" t="s">
        <v>142</v>
      </c>
      <c r="L7" s="15" t="s">
        <v>143</v>
      </c>
    </row>
    <row r="8" spans="1:12" x14ac:dyDescent="0.35">
      <c r="A8" s="15"/>
      <c r="B8" s="15"/>
      <c r="C8" s="15"/>
      <c r="D8" s="15"/>
      <c r="E8" s="15"/>
      <c r="F8" s="15"/>
      <c r="G8" s="15"/>
      <c r="H8" s="15"/>
      <c r="I8" s="15"/>
    </row>
    <row r="9" spans="1:12" x14ac:dyDescent="0.35">
      <c r="A9" s="15"/>
      <c r="B9" s="15"/>
      <c r="C9" s="15"/>
      <c r="D9" s="15"/>
      <c r="E9" s="15"/>
      <c r="F9" s="15"/>
      <c r="G9" s="15"/>
      <c r="H9" s="15"/>
      <c r="I9" s="15"/>
      <c r="K9" s="28" t="s">
        <v>144</v>
      </c>
      <c r="L9" s="15" t="s">
        <v>133</v>
      </c>
    </row>
    <row r="10" spans="1:12" x14ac:dyDescent="0.35">
      <c r="A10" s="15"/>
      <c r="B10" s="15"/>
      <c r="C10" s="15"/>
      <c r="D10" s="15"/>
      <c r="E10" s="15"/>
      <c r="F10" s="15"/>
      <c r="G10" s="15"/>
      <c r="H10" s="15"/>
      <c r="I10" s="15"/>
      <c r="K10" s="28" t="s">
        <v>145</v>
      </c>
      <c r="L10" s="15" t="s">
        <v>146</v>
      </c>
    </row>
    <row r="11" spans="1:12" x14ac:dyDescent="0.35">
      <c r="A11" s="15"/>
      <c r="B11" s="15"/>
      <c r="C11" s="15"/>
      <c r="D11" s="15"/>
      <c r="E11" s="15"/>
      <c r="F11" s="15"/>
      <c r="G11" s="15"/>
      <c r="H11" s="15"/>
      <c r="I11" s="15"/>
      <c r="K11" s="28" t="s">
        <v>147</v>
      </c>
      <c r="L11" s="15" t="s">
        <v>134</v>
      </c>
    </row>
    <row r="12" spans="1:12" x14ac:dyDescent="0.35">
      <c r="A12" s="15"/>
      <c r="B12" s="15"/>
      <c r="C12" s="15"/>
      <c r="D12" s="15"/>
      <c r="E12" s="15"/>
      <c r="F12" s="15"/>
      <c r="G12" s="15"/>
      <c r="H12" s="15"/>
      <c r="I12" s="15"/>
      <c r="K12" s="28" t="s">
        <v>148</v>
      </c>
      <c r="L12" s="15" t="s">
        <v>149</v>
      </c>
    </row>
    <row r="13" spans="1:12" x14ac:dyDescent="0.35">
      <c r="A13" s="15"/>
      <c r="B13" s="15"/>
      <c r="C13" s="15"/>
      <c r="D13" s="15"/>
      <c r="E13" s="15"/>
      <c r="F13" s="15"/>
      <c r="G13" s="15"/>
      <c r="H13" s="15"/>
      <c r="I13" s="15"/>
      <c r="K13" s="28" t="s">
        <v>150</v>
      </c>
      <c r="L13" s="15" t="s">
        <v>151</v>
      </c>
    </row>
    <row r="14" spans="1:12" x14ac:dyDescent="0.35">
      <c r="A14" s="15"/>
      <c r="B14" s="15"/>
      <c r="C14" s="15"/>
      <c r="D14" s="15"/>
      <c r="E14" s="15"/>
      <c r="F14" s="15"/>
      <c r="G14" s="15"/>
      <c r="H14" s="15"/>
      <c r="I14" s="15"/>
      <c r="K14" s="28" t="s">
        <v>152</v>
      </c>
      <c r="L14" s="15"/>
    </row>
    <row r="15" spans="1:12" x14ac:dyDescent="0.35">
      <c r="A15" s="15"/>
      <c r="B15" s="15"/>
      <c r="C15" s="15"/>
      <c r="D15" s="15"/>
      <c r="E15" s="15"/>
      <c r="F15" s="15"/>
      <c r="G15" s="15"/>
      <c r="H15" s="15"/>
      <c r="I15" s="15"/>
    </row>
    <row r="16" spans="1:12" x14ac:dyDescent="0.35">
      <c r="A16" s="15"/>
      <c r="B16" s="15"/>
      <c r="C16" s="15"/>
      <c r="D16" s="15"/>
      <c r="E16" s="15"/>
      <c r="F16" s="15"/>
      <c r="G16" s="15"/>
      <c r="H16" s="15"/>
      <c r="I16" s="15"/>
      <c r="K16" s="12" t="s">
        <v>153</v>
      </c>
      <c r="L16" s="18">
        <v>95</v>
      </c>
    </row>
    <row r="17" spans="1:12" x14ac:dyDescent="0.35">
      <c r="A17" s="15"/>
      <c r="B17" s="15"/>
      <c r="C17" s="15"/>
      <c r="D17" s="15"/>
      <c r="E17" s="15"/>
      <c r="F17" s="15"/>
      <c r="G17" s="15"/>
      <c r="H17" s="15"/>
      <c r="I17" s="15"/>
    </row>
    <row r="18" spans="1:12" x14ac:dyDescent="0.35">
      <c r="A18" s="15"/>
      <c r="B18" s="15"/>
      <c r="C18" s="15"/>
      <c r="D18" s="15"/>
      <c r="E18" s="15"/>
      <c r="F18" s="15"/>
      <c r="G18" s="15"/>
      <c r="H18" s="15"/>
      <c r="I18" s="15"/>
      <c r="K18" s="14" t="s">
        <v>154</v>
      </c>
      <c r="L18" s="14" t="s">
        <v>155</v>
      </c>
    </row>
    <row r="19" spans="1:12" x14ac:dyDescent="0.35">
      <c r="A19" s="15"/>
      <c r="B19" s="15"/>
      <c r="C19" s="15"/>
      <c r="D19" s="15"/>
      <c r="E19" s="15"/>
      <c r="F19" s="15"/>
      <c r="G19" s="15"/>
      <c r="H19" s="15"/>
      <c r="I19" s="15"/>
      <c r="K19" s="28" t="s">
        <v>156</v>
      </c>
      <c r="L19" s="29">
        <f>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(1+($F$5:$F$504="Yes")))</f>
        <v>3</v>
      </c>
    </row>
    <row r="20" spans="1:12" x14ac:dyDescent="0.35">
      <c r="A20" s="15"/>
      <c r="B20" s="15"/>
      <c r="C20" s="15"/>
      <c r="D20" s="15"/>
      <c r="E20" s="15"/>
      <c r="F20" s="15"/>
      <c r="G20" s="15"/>
      <c r="H20" s="15"/>
      <c r="I20" s="15"/>
      <c r="K20" s="12" t="s">
        <v>157</v>
      </c>
      <c r="L20" s="30">
        <f>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Yes")*(1+($F$5:$F$504="Yes")))</f>
        <v>2</v>
      </c>
    </row>
    <row r="21" spans="1:12" x14ac:dyDescent="0.35">
      <c r="A21" s="15"/>
      <c r="B21" s="15"/>
      <c r="C21" s="15"/>
      <c r="D21" s="15"/>
      <c r="E21" s="15"/>
      <c r="F21" s="15"/>
      <c r="G21" s="15"/>
      <c r="H21" s="15"/>
      <c r="I21" s="15"/>
      <c r="K21" s="28" t="s">
        <v>158</v>
      </c>
      <c r="L21" s="29">
        <f>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(($D$5:$D$504="")+($D$5:$D$504="Pending"))&gt;0)*(1+($F$5:$F$504="Yes")))</f>
        <v>1</v>
      </c>
    </row>
    <row r="22" spans="1:12" x14ac:dyDescent="0.35">
      <c r="A22" s="15"/>
      <c r="B22" s="15"/>
      <c r="C22" s="15"/>
      <c r="D22" s="15"/>
      <c r="E22" s="15"/>
      <c r="F22" s="15"/>
      <c r="G22" s="15"/>
      <c r="H22" s="15"/>
      <c r="I22" s="15"/>
      <c r="K22" s="28" t="s">
        <v>159</v>
      </c>
      <c r="L22" s="29">
        <f>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No")*(1+($F$5:$F$504="Yes")))</f>
        <v>0</v>
      </c>
    </row>
    <row r="23" spans="1:12" x14ac:dyDescent="0.35">
      <c r="A23" s="15"/>
      <c r="B23" s="15"/>
      <c r="C23" s="15"/>
      <c r="D23" s="15"/>
      <c r="E23" s="15"/>
      <c r="F23" s="15"/>
      <c r="G23" s="15"/>
      <c r="H23" s="15"/>
      <c r="I23" s="15"/>
      <c r="K23" s="12" t="s">
        <v>160</v>
      </c>
      <c r="L23" s="30">
        <f>L20+L21</f>
        <v>3</v>
      </c>
    </row>
    <row r="24" spans="1:12" x14ac:dyDescent="0.35">
      <c r="A24" s="15"/>
      <c r="B24" s="15"/>
      <c r="C24" s="15"/>
      <c r="D24" s="15"/>
      <c r="E24" s="15"/>
      <c r="F24" s="15"/>
      <c r="G24" s="15"/>
      <c r="H24" s="15"/>
      <c r="I24" s="15"/>
      <c r="K24" s="12" t="s">
        <v>161</v>
      </c>
      <c r="L24" s="31">
        <f>L23*N(L16)</f>
        <v>285</v>
      </c>
    </row>
    <row r="25" spans="1:12" x14ac:dyDescent="0.35">
      <c r="A25" s="15"/>
      <c r="B25" s="15"/>
      <c r="C25" s="15"/>
      <c r="D25" s="15"/>
      <c r="E25" s="15"/>
      <c r="F25" s="15"/>
      <c r="G25" s="15"/>
      <c r="H25" s="15"/>
      <c r="I25" s="15"/>
    </row>
    <row r="26" spans="1:12" x14ac:dyDescent="0.35">
      <c r="A26" s="15"/>
      <c r="B26" s="15"/>
      <c r="C26" s="15"/>
      <c r="D26" s="15"/>
      <c r="E26" s="15"/>
      <c r="F26" s="15"/>
      <c r="G26" s="15"/>
      <c r="H26" s="15"/>
      <c r="I26" s="15"/>
      <c r="K26" s="14" t="s">
        <v>162</v>
      </c>
      <c r="L26" s="14" t="s">
        <v>155</v>
      </c>
    </row>
    <row r="27" spans="1:12" x14ac:dyDescent="0.35">
      <c r="A27" s="15"/>
      <c r="B27" s="15"/>
      <c r="C27" s="15"/>
      <c r="D27" s="15"/>
      <c r="E27" s="15"/>
      <c r="F27" s="15"/>
      <c r="G27" s="15"/>
      <c r="H27" s="15"/>
      <c r="I27" s="15"/>
      <c r="K27" s="28" t="str">
        <f>IF(L5="","",L5)</f>
        <v>Bride</v>
      </c>
      <c r="L27" s="32">
        <f>IF(L5="",0,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Yes")*($B$5:$B$504=L5)*(1+($F$5:$F$504="Yes"))))</f>
        <v>2</v>
      </c>
    </row>
    <row r="28" spans="1:12" x14ac:dyDescent="0.35">
      <c r="A28" s="15"/>
      <c r="B28" s="15"/>
      <c r="C28" s="15"/>
      <c r="D28" s="15"/>
      <c r="E28" s="15"/>
      <c r="F28" s="15"/>
      <c r="G28" s="15"/>
      <c r="H28" s="15"/>
      <c r="I28" s="15"/>
      <c r="K28" s="28" t="str">
        <f>IF(L6="","",L6)</f>
        <v>Groom</v>
      </c>
      <c r="L28" s="32">
        <f>IF(L6="",0,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Yes")*($B$5:$B$504=L6)*(1+($F$5:$F$504="Yes"))))</f>
        <v>0</v>
      </c>
    </row>
    <row r="29" spans="1:12" x14ac:dyDescent="0.35">
      <c r="A29" s="15"/>
      <c r="B29" s="15"/>
      <c r="C29" s="15"/>
      <c r="D29" s="15"/>
      <c r="E29" s="15"/>
      <c r="F29" s="15"/>
      <c r="G29" s="15"/>
      <c r="H29" s="15"/>
      <c r="I29" s="15"/>
      <c r="K29" s="28" t="str">
        <f>IF(L7="","",L7)</f>
        <v>Both</v>
      </c>
      <c r="L29" s="32">
        <f>IF(L7="",0,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Yes")*($B$5:$B$504=L7)*(1+($F$5:$F$504="Yes"))))</f>
        <v>0</v>
      </c>
    </row>
    <row r="30" spans="1:12" x14ac:dyDescent="0.35">
      <c r="A30" s="15"/>
      <c r="B30" s="15"/>
      <c r="C30" s="15"/>
      <c r="D30" s="15"/>
      <c r="E30" s="15"/>
      <c r="F30" s="15"/>
      <c r="G30" s="15"/>
      <c r="H30" s="15"/>
      <c r="I30" s="15"/>
      <c r="K30" s="28" t="s">
        <v>163</v>
      </c>
      <c r="L30" s="33">
        <f>L20-SUM(L27:L29)</f>
        <v>0</v>
      </c>
    </row>
    <row r="31" spans="1:12" x14ac:dyDescent="0.35">
      <c r="A31" s="15"/>
      <c r="B31" s="15"/>
      <c r="C31" s="15"/>
      <c r="D31" s="15"/>
      <c r="E31" s="15"/>
      <c r="F31" s="15"/>
      <c r="G31" s="15"/>
      <c r="H31" s="15"/>
      <c r="I31" s="15"/>
    </row>
    <row r="32" spans="1:12" x14ac:dyDescent="0.35">
      <c r="A32" s="15"/>
      <c r="B32" s="15"/>
      <c r="C32" s="15"/>
      <c r="D32" s="15"/>
      <c r="E32" s="15"/>
      <c r="F32" s="15"/>
      <c r="G32" s="15"/>
      <c r="H32" s="15"/>
      <c r="I32" s="15"/>
      <c r="K32" s="14" t="s">
        <v>164</v>
      </c>
      <c r="L32" s="14" t="s">
        <v>165</v>
      </c>
    </row>
    <row r="33" spans="1:12" x14ac:dyDescent="0.35">
      <c r="A33" s="15"/>
      <c r="B33" s="15"/>
      <c r="C33" s="15"/>
      <c r="D33" s="15"/>
      <c r="E33" s="15"/>
      <c r="F33" s="15"/>
      <c r="G33" s="15"/>
      <c r="H33" s="15"/>
      <c r="I33" s="15"/>
      <c r="K33" s="28" t="str">
        <f t="shared" ref="K33:K38" si="0">IF(L9="","",L9)</f>
        <v>Chicken</v>
      </c>
      <c r="L33" s="32">
        <f t="shared" ref="L33:L38" si="1">IF(L9="",0,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Yes")*($E$5:$E$504=L9))+SUMPRODUCT((($A$5:$A$504&lt;&gt;"")*((($B$5:$B$504="")+ISNUMBER(MATCH($B$5:$B$504,$L$5:$L$7,0)))&gt;0)*((($D$5:$D$504="")+($D$5:$D$504="Yes")+($D$5:$D$504="No")+($D$5:$D$504="Pending"))&gt;0)*((($E$5:$E$504="")+ISNUMBER(MATCH($E$5:$E$504,$L$9:$L$14,0)))&gt;0)*((($F$5:$F$504="")+($F$5:$F$504="Yes")+($F$5:$F$504="No"))&gt;0)*((($G$5:$G$504="")+ISNUMBER(MATCH($G$5:$G$504,$L$9:$L$14,0)))&gt;0))*($D$5:$D$504="Yes")*($F$5:$F$504="Yes")*($G$5:$G$504=L9)))</f>
        <v>1</v>
      </c>
    </row>
    <row r="34" spans="1:12" x14ac:dyDescent="0.35">
      <c r="A34" s="15"/>
      <c r="B34" s="15"/>
      <c r="C34" s="15"/>
      <c r="D34" s="15"/>
      <c r="E34" s="15"/>
      <c r="F34" s="15"/>
      <c r="G34" s="15"/>
      <c r="H34" s="15"/>
      <c r="I34" s="15"/>
      <c r="K34" s="28" t="str">
        <f t="shared" si="0"/>
        <v>Beef</v>
      </c>
      <c r="L34" s="32">
        <f t="shared" si="1"/>
        <v>0</v>
      </c>
    </row>
    <row r="35" spans="1:12" x14ac:dyDescent="0.35">
      <c r="A35" s="15"/>
      <c r="B35" s="15"/>
      <c r="C35" s="15"/>
      <c r="D35" s="15"/>
      <c r="E35" s="15"/>
      <c r="F35" s="15"/>
      <c r="G35" s="15"/>
      <c r="H35" s="15"/>
      <c r="I35" s="15"/>
      <c r="K35" s="28" t="str">
        <f t="shared" si="0"/>
        <v>Fish</v>
      </c>
      <c r="L35" s="32">
        <f t="shared" si="1"/>
        <v>1</v>
      </c>
    </row>
    <row r="36" spans="1:12" x14ac:dyDescent="0.35">
      <c r="A36" s="15"/>
      <c r="B36" s="15"/>
      <c r="C36" s="15"/>
      <c r="D36" s="15"/>
      <c r="E36" s="15"/>
      <c r="F36" s="15"/>
      <c r="G36" s="15"/>
      <c r="H36" s="15"/>
      <c r="I36" s="15"/>
      <c r="K36" s="28" t="str">
        <f t="shared" si="0"/>
        <v>Vegetarian</v>
      </c>
      <c r="L36" s="32">
        <f t="shared" si="1"/>
        <v>0</v>
      </c>
    </row>
    <row r="37" spans="1:12" x14ac:dyDescent="0.35">
      <c r="A37" s="15"/>
      <c r="B37" s="15"/>
      <c r="C37" s="15"/>
      <c r="D37" s="15"/>
      <c r="E37" s="15"/>
      <c r="F37" s="15"/>
      <c r="G37" s="15"/>
      <c r="H37" s="15"/>
      <c r="I37" s="15"/>
      <c r="K37" s="28" t="str">
        <f t="shared" si="0"/>
        <v>Kids meal</v>
      </c>
      <c r="L37" s="32">
        <f t="shared" si="1"/>
        <v>0</v>
      </c>
    </row>
    <row r="38" spans="1:12" x14ac:dyDescent="0.35">
      <c r="A38" s="15"/>
      <c r="B38" s="15"/>
      <c r="C38" s="15"/>
      <c r="D38" s="15"/>
      <c r="E38" s="15"/>
      <c r="F38" s="15"/>
      <c r="G38" s="15"/>
      <c r="H38" s="15"/>
      <c r="I38" s="15"/>
      <c r="K38" s="28" t="str">
        <f t="shared" si="0"/>
        <v/>
      </c>
      <c r="L38" s="32">
        <f t="shared" si="1"/>
        <v>0</v>
      </c>
    </row>
    <row r="39" spans="1:12" x14ac:dyDescent="0.35">
      <c r="A39" s="15"/>
      <c r="B39" s="15"/>
      <c r="C39" s="15"/>
      <c r="D39" s="15"/>
      <c r="E39" s="15"/>
      <c r="F39" s="15"/>
      <c r="G39" s="15"/>
      <c r="H39" s="15"/>
      <c r="I39" s="15"/>
      <c r="K39" s="28" t="s">
        <v>166</v>
      </c>
      <c r="L39" s="33">
        <f>L20-SUM(L33:L38)</f>
        <v>0</v>
      </c>
    </row>
    <row r="40" spans="1:12" x14ac:dyDescent="0.35">
      <c r="A40" s="15"/>
      <c r="B40" s="15"/>
      <c r="C40" s="15"/>
      <c r="D40" s="15"/>
      <c r="E40" s="15"/>
      <c r="F40" s="15"/>
      <c r="G40" s="15"/>
      <c r="H40" s="15"/>
      <c r="I40" s="15"/>
    </row>
    <row r="41" spans="1:12" x14ac:dyDescent="0.35">
      <c r="A41" s="15"/>
      <c r="B41" s="15"/>
      <c r="C41" s="15"/>
      <c r="D41" s="15"/>
      <c r="E41" s="15"/>
      <c r="F41" s="15"/>
      <c r="G41" s="15"/>
      <c r="H41" s="15"/>
      <c r="I41" s="15"/>
      <c r="K41" s="8" t="s">
        <v>167</v>
      </c>
    </row>
    <row r="42" spans="1:12" x14ac:dyDescent="0.35">
      <c r="A42" s="15"/>
      <c r="B42" s="15"/>
      <c r="C42" s="15"/>
      <c r="D42" s="15"/>
      <c r="E42" s="15"/>
      <c r="F42" s="15"/>
      <c r="G42" s="15"/>
      <c r="H42" s="15"/>
      <c r="I42" s="15"/>
      <c r="K42" s="8" t="s">
        <v>168</v>
      </c>
    </row>
    <row r="43" spans="1:12" x14ac:dyDescent="0.35">
      <c r="A43" s="15"/>
      <c r="B43" s="15"/>
      <c r="C43" s="15"/>
      <c r="D43" s="15"/>
      <c r="E43" s="15"/>
      <c r="F43" s="15"/>
      <c r="G43" s="15"/>
      <c r="H43" s="15"/>
      <c r="I43" s="15"/>
    </row>
    <row r="44" spans="1:12" x14ac:dyDescent="0.35">
      <c r="A44" s="15"/>
      <c r="B44" s="15"/>
      <c r="C44" s="15"/>
      <c r="D44" s="15"/>
      <c r="E44" s="15"/>
      <c r="F44" s="15"/>
      <c r="G44" s="15"/>
      <c r="H44" s="15"/>
      <c r="I44" s="15"/>
    </row>
    <row r="45" spans="1:12" x14ac:dyDescent="0.35">
      <c r="A45" s="15"/>
      <c r="B45" s="15"/>
      <c r="C45" s="15"/>
      <c r="D45" s="15"/>
      <c r="E45" s="15"/>
      <c r="F45" s="15"/>
      <c r="G45" s="15"/>
      <c r="H45" s="15"/>
      <c r="I45" s="15"/>
    </row>
    <row r="46" spans="1:12" x14ac:dyDescent="0.35">
      <c r="A46" s="15"/>
      <c r="B46" s="15"/>
      <c r="C46" s="15"/>
      <c r="D46" s="15"/>
      <c r="E46" s="15"/>
      <c r="F46" s="15"/>
      <c r="G46" s="15"/>
      <c r="H46" s="15"/>
      <c r="I46" s="15"/>
    </row>
    <row r="47" spans="1:12" x14ac:dyDescent="0.35">
      <c r="A47" s="15"/>
      <c r="B47" s="15"/>
      <c r="C47" s="15"/>
      <c r="D47" s="15"/>
      <c r="E47" s="15"/>
      <c r="F47" s="15"/>
      <c r="G47" s="15"/>
      <c r="H47" s="15"/>
      <c r="I47" s="15"/>
    </row>
    <row r="48" spans="1:12" x14ac:dyDescent="0.35">
      <c r="A48" s="15"/>
      <c r="B48" s="15"/>
      <c r="C48" s="15"/>
      <c r="D48" s="15"/>
      <c r="E48" s="15"/>
      <c r="F48" s="15"/>
      <c r="G48" s="15"/>
      <c r="H48" s="15"/>
      <c r="I48" s="15"/>
    </row>
    <row r="49" spans="1:9" x14ac:dyDescent="0.35">
      <c r="A49" s="15"/>
      <c r="B49" s="15"/>
      <c r="C49" s="15"/>
      <c r="D49" s="15"/>
      <c r="E49" s="15"/>
      <c r="F49" s="15"/>
      <c r="G49" s="15"/>
      <c r="H49" s="15"/>
      <c r="I49" s="15"/>
    </row>
    <row r="50" spans="1:9" x14ac:dyDescent="0.35">
      <c r="A50" s="15"/>
      <c r="B50" s="15"/>
      <c r="C50" s="15"/>
      <c r="D50" s="15"/>
      <c r="E50" s="15"/>
      <c r="F50" s="15"/>
      <c r="G50" s="15"/>
      <c r="H50" s="15"/>
      <c r="I50" s="15"/>
    </row>
    <row r="51" spans="1:9" x14ac:dyDescent="0.35">
      <c r="A51" s="15"/>
      <c r="B51" s="15"/>
      <c r="C51" s="15"/>
      <c r="D51" s="15"/>
      <c r="E51" s="15"/>
      <c r="F51" s="15"/>
      <c r="G51" s="15"/>
      <c r="H51" s="15"/>
      <c r="I51" s="15"/>
    </row>
    <row r="52" spans="1:9" x14ac:dyDescent="0.35">
      <c r="A52" s="15"/>
      <c r="B52" s="15"/>
      <c r="C52" s="15"/>
      <c r="D52" s="15"/>
      <c r="E52" s="15"/>
      <c r="F52" s="15"/>
      <c r="G52" s="15"/>
      <c r="H52" s="15"/>
      <c r="I52" s="15"/>
    </row>
    <row r="53" spans="1:9" x14ac:dyDescent="0.35">
      <c r="A53" s="15"/>
      <c r="B53" s="15"/>
      <c r="C53" s="15"/>
      <c r="D53" s="15"/>
      <c r="E53" s="15"/>
      <c r="F53" s="15"/>
      <c r="G53" s="15"/>
      <c r="H53" s="15"/>
      <c r="I53" s="15"/>
    </row>
    <row r="54" spans="1:9" x14ac:dyDescent="0.35">
      <c r="A54" s="15"/>
      <c r="B54" s="15"/>
      <c r="C54" s="15"/>
      <c r="D54" s="15"/>
      <c r="E54" s="15"/>
      <c r="F54" s="15"/>
      <c r="G54" s="15"/>
      <c r="H54" s="15"/>
      <c r="I54" s="15"/>
    </row>
    <row r="55" spans="1:9" x14ac:dyDescent="0.35">
      <c r="A55" s="15"/>
      <c r="B55" s="15"/>
      <c r="C55" s="15"/>
      <c r="D55" s="15"/>
      <c r="E55" s="15"/>
      <c r="F55" s="15"/>
      <c r="G55" s="15"/>
      <c r="H55" s="15"/>
      <c r="I55" s="15"/>
    </row>
    <row r="56" spans="1:9" x14ac:dyDescent="0.35">
      <c r="A56" s="15"/>
      <c r="B56" s="15"/>
      <c r="C56" s="15"/>
      <c r="D56" s="15"/>
      <c r="E56" s="15"/>
      <c r="F56" s="15"/>
      <c r="G56" s="15"/>
      <c r="H56" s="15"/>
      <c r="I56" s="15"/>
    </row>
    <row r="57" spans="1:9" x14ac:dyDescent="0.35">
      <c r="A57" s="15"/>
      <c r="B57" s="15"/>
      <c r="C57" s="15"/>
      <c r="D57" s="15"/>
      <c r="E57" s="15"/>
      <c r="F57" s="15"/>
      <c r="G57" s="15"/>
      <c r="H57" s="15"/>
      <c r="I57" s="15"/>
    </row>
    <row r="58" spans="1:9" x14ac:dyDescent="0.35">
      <c r="A58" s="15"/>
      <c r="B58" s="15"/>
      <c r="C58" s="15"/>
      <c r="D58" s="15"/>
      <c r="E58" s="15"/>
      <c r="F58" s="15"/>
      <c r="G58" s="15"/>
      <c r="H58" s="15"/>
      <c r="I58" s="15"/>
    </row>
    <row r="59" spans="1:9" x14ac:dyDescent="0.35">
      <c r="A59" s="15"/>
      <c r="B59" s="15"/>
      <c r="C59" s="15"/>
      <c r="D59" s="15"/>
      <c r="E59" s="15"/>
      <c r="F59" s="15"/>
      <c r="G59" s="15"/>
      <c r="H59" s="15"/>
      <c r="I59" s="15"/>
    </row>
    <row r="60" spans="1:9" x14ac:dyDescent="0.35">
      <c r="A60" s="15"/>
      <c r="B60" s="15"/>
      <c r="C60" s="15"/>
      <c r="D60" s="15"/>
      <c r="E60" s="15"/>
      <c r="F60" s="15"/>
      <c r="G60" s="15"/>
      <c r="H60" s="15"/>
      <c r="I60" s="15"/>
    </row>
    <row r="61" spans="1:9" x14ac:dyDescent="0.35">
      <c r="A61" s="15"/>
      <c r="B61" s="15"/>
      <c r="C61" s="15"/>
      <c r="D61" s="15"/>
      <c r="E61" s="15"/>
      <c r="F61" s="15"/>
      <c r="G61" s="15"/>
      <c r="H61" s="15"/>
      <c r="I61" s="15"/>
    </row>
    <row r="62" spans="1:9" x14ac:dyDescent="0.35">
      <c r="A62" s="15"/>
      <c r="B62" s="15"/>
      <c r="C62" s="15"/>
      <c r="D62" s="15"/>
      <c r="E62" s="15"/>
      <c r="F62" s="15"/>
      <c r="G62" s="15"/>
      <c r="H62" s="15"/>
      <c r="I62" s="15"/>
    </row>
    <row r="63" spans="1:9" x14ac:dyDescent="0.35">
      <c r="A63" s="15"/>
      <c r="B63" s="15"/>
      <c r="C63" s="15"/>
      <c r="D63" s="15"/>
      <c r="E63" s="15"/>
      <c r="F63" s="15"/>
      <c r="G63" s="15"/>
      <c r="H63" s="15"/>
      <c r="I63" s="15"/>
    </row>
    <row r="64" spans="1:9" x14ac:dyDescent="0.35">
      <c r="A64" s="15"/>
      <c r="B64" s="15"/>
      <c r="C64" s="15"/>
      <c r="D64" s="15"/>
      <c r="E64" s="15"/>
      <c r="F64" s="15"/>
      <c r="G64" s="15"/>
      <c r="H64" s="15"/>
      <c r="I64" s="15"/>
    </row>
    <row r="65" spans="1:9" x14ac:dyDescent="0.35">
      <c r="A65" s="15"/>
      <c r="B65" s="15"/>
      <c r="C65" s="15"/>
      <c r="D65" s="15"/>
      <c r="E65" s="15"/>
      <c r="F65" s="15"/>
      <c r="G65" s="15"/>
      <c r="H65" s="15"/>
      <c r="I65" s="15"/>
    </row>
    <row r="66" spans="1:9" x14ac:dyDescent="0.35">
      <c r="A66" s="15"/>
      <c r="B66" s="15"/>
      <c r="C66" s="15"/>
      <c r="D66" s="15"/>
      <c r="E66" s="15"/>
      <c r="F66" s="15"/>
      <c r="G66" s="15"/>
      <c r="H66" s="15"/>
      <c r="I66" s="15"/>
    </row>
    <row r="67" spans="1:9" x14ac:dyDescent="0.35">
      <c r="A67" s="15"/>
      <c r="B67" s="15"/>
      <c r="C67" s="15"/>
      <c r="D67" s="15"/>
      <c r="E67" s="15"/>
      <c r="F67" s="15"/>
      <c r="G67" s="15"/>
      <c r="H67" s="15"/>
      <c r="I67" s="15"/>
    </row>
    <row r="68" spans="1:9" x14ac:dyDescent="0.35">
      <c r="A68" s="15"/>
      <c r="B68" s="15"/>
      <c r="C68" s="15"/>
      <c r="D68" s="15"/>
      <c r="E68" s="15"/>
      <c r="F68" s="15"/>
      <c r="G68" s="15"/>
      <c r="H68" s="15"/>
      <c r="I68" s="15"/>
    </row>
    <row r="69" spans="1:9" x14ac:dyDescent="0.35">
      <c r="A69" s="15"/>
      <c r="B69" s="15"/>
      <c r="C69" s="15"/>
      <c r="D69" s="15"/>
      <c r="E69" s="15"/>
      <c r="F69" s="15"/>
      <c r="G69" s="15"/>
      <c r="H69" s="15"/>
      <c r="I69" s="15"/>
    </row>
    <row r="70" spans="1:9" x14ac:dyDescent="0.35">
      <c r="A70" s="15"/>
      <c r="B70" s="15"/>
      <c r="C70" s="15"/>
      <c r="D70" s="15"/>
      <c r="E70" s="15"/>
      <c r="F70" s="15"/>
      <c r="G70" s="15"/>
      <c r="H70" s="15"/>
      <c r="I70" s="15"/>
    </row>
    <row r="71" spans="1:9" x14ac:dyDescent="0.35">
      <c r="A71" s="15"/>
      <c r="B71" s="15"/>
      <c r="C71" s="15"/>
      <c r="D71" s="15"/>
      <c r="E71" s="15"/>
      <c r="F71" s="15"/>
      <c r="G71" s="15"/>
      <c r="H71" s="15"/>
      <c r="I71" s="15"/>
    </row>
    <row r="72" spans="1:9" x14ac:dyDescent="0.35">
      <c r="A72" s="15"/>
      <c r="B72" s="15"/>
      <c r="C72" s="15"/>
      <c r="D72" s="15"/>
      <c r="E72" s="15"/>
      <c r="F72" s="15"/>
      <c r="G72" s="15"/>
      <c r="H72" s="15"/>
      <c r="I72" s="15"/>
    </row>
    <row r="73" spans="1:9" x14ac:dyDescent="0.35">
      <c r="A73" s="15"/>
      <c r="B73" s="15"/>
      <c r="C73" s="15"/>
      <c r="D73" s="15"/>
      <c r="E73" s="15"/>
      <c r="F73" s="15"/>
      <c r="G73" s="15"/>
      <c r="H73" s="15"/>
      <c r="I73" s="15"/>
    </row>
    <row r="74" spans="1:9" x14ac:dyDescent="0.35">
      <c r="A74" s="15"/>
      <c r="B74" s="15"/>
      <c r="C74" s="15"/>
      <c r="D74" s="15"/>
      <c r="E74" s="15"/>
      <c r="F74" s="15"/>
      <c r="G74" s="15"/>
      <c r="H74" s="15"/>
      <c r="I74" s="15"/>
    </row>
    <row r="75" spans="1:9" x14ac:dyDescent="0.35">
      <c r="A75" s="15"/>
      <c r="B75" s="15"/>
      <c r="C75" s="15"/>
      <c r="D75" s="15"/>
      <c r="E75" s="15"/>
      <c r="F75" s="15"/>
      <c r="G75" s="15"/>
      <c r="H75" s="15"/>
      <c r="I75" s="15"/>
    </row>
    <row r="76" spans="1:9" x14ac:dyDescent="0.35">
      <c r="A76" s="15"/>
      <c r="B76" s="15"/>
      <c r="C76" s="15"/>
      <c r="D76" s="15"/>
      <c r="E76" s="15"/>
      <c r="F76" s="15"/>
      <c r="G76" s="15"/>
      <c r="H76" s="15"/>
      <c r="I76" s="15"/>
    </row>
    <row r="77" spans="1:9" x14ac:dyDescent="0.35">
      <c r="A77" s="15"/>
      <c r="B77" s="15"/>
      <c r="C77" s="15"/>
      <c r="D77" s="15"/>
      <c r="E77" s="15"/>
      <c r="F77" s="15"/>
      <c r="G77" s="15"/>
      <c r="H77" s="15"/>
      <c r="I77" s="15"/>
    </row>
    <row r="78" spans="1:9" x14ac:dyDescent="0.35">
      <c r="A78" s="15"/>
      <c r="B78" s="15"/>
      <c r="C78" s="15"/>
      <c r="D78" s="15"/>
      <c r="E78" s="15"/>
      <c r="F78" s="15"/>
      <c r="G78" s="15"/>
      <c r="H78" s="15"/>
      <c r="I78" s="15"/>
    </row>
    <row r="79" spans="1:9" x14ac:dyDescent="0.35">
      <c r="A79" s="15"/>
      <c r="B79" s="15"/>
      <c r="C79" s="15"/>
      <c r="D79" s="15"/>
      <c r="E79" s="15"/>
      <c r="F79" s="15"/>
      <c r="G79" s="15"/>
      <c r="H79" s="15"/>
      <c r="I79" s="15"/>
    </row>
    <row r="80" spans="1:9" x14ac:dyDescent="0.35">
      <c r="A80" s="15"/>
      <c r="B80" s="15"/>
      <c r="C80" s="15"/>
      <c r="D80" s="15"/>
      <c r="E80" s="15"/>
      <c r="F80" s="15"/>
      <c r="G80" s="15"/>
      <c r="H80" s="15"/>
      <c r="I80" s="15"/>
    </row>
    <row r="81" spans="1:9" x14ac:dyDescent="0.35">
      <c r="A81" s="15"/>
      <c r="B81" s="15"/>
      <c r="C81" s="15"/>
      <c r="D81" s="15"/>
      <c r="E81" s="15"/>
      <c r="F81" s="15"/>
      <c r="G81" s="15"/>
      <c r="H81" s="15"/>
      <c r="I81" s="15"/>
    </row>
    <row r="82" spans="1:9" x14ac:dyDescent="0.35">
      <c r="A82" s="15"/>
      <c r="B82" s="15"/>
      <c r="C82" s="15"/>
      <c r="D82" s="15"/>
      <c r="E82" s="15"/>
      <c r="F82" s="15"/>
      <c r="G82" s="15"/>
      <c r="H82" s="15"/>
      <c r="I82" s="15"/>
    </row>
    <row r="83" spans="1:9" x14ac:dyDescent="0.35">
      <c r="A83" s="15"/>
      <c r="B83" s="15"/>
      <c r="C83" s="15"/>
      <c r="D83" s="15"/>
      <c r="E83" s="15"/>
      <c r="F83" s="15"/>
      <c r="G83" s="15"/>
      <c r="H83" s="15"/>
      <c r="I83" s="15"/>
    </row>
    <row r="84" spans="1:9" x14ac:dyDescent="0.35">
      <c r="A84" s="15"/>
      <c r="B84" s="15"/>
      <c r="C84" s="15"/>
      <c r="D84" s="15"/>
      <c r="E84" s="15"/>
      <c r="F84" s="15"/>
      <c r="G84" s="15"/>
      <c r="H84" s="15"/>
      <c r="I84" s="15"/>
    </row>
    <row r="85" spans="1:9" x14ac:dyDescent="0.35">
      <c r="A85" s="15"/>
      <c r="B85" s="15"/>
      <c r="C85" s="15"/>
      <c r="D85" s="15"/>
      <c r="E85" s="15"/>
      <c r="F85" s="15"/>
      <c r="G85" s="15"/>
      <c r="H85" s="15"/>
      <c r="I85" s="15"/>
    </row>
    <row r="86" spans="1:9" x14ac:dyDescent="0.35">
      <c r="A86" s="15"/>
      <c r="B86" s="15"/>
      <c r="C86" s="15"/>
      <c r="D86" s="15"/>
      <c r="E86" s="15"/>
      <c r="F86" s="15"/>
      <c r="G86" s="15"/>
      <c r="H86" s="15"/>
      <c r="I86" s="15"/>
    </row>
    <row r="87" spans="1:9" x14ac:dyDescent="0.35">
      <c r="A87" s="15"/>
      <c r="B87" s="15"/>
      <c r="C87" s="15"/>
      <c r="D87" s="15"/>
      <c r="E87" s="15"/>
      <c r="F87" s="15"/>
      <c r="G87" s="15"/>
      <c r="H87" s="15"/>
      <c r="I87" s="15"/>
    </row>
    <row r="88" spans="1:9" x14ac:dyDescent="0.35">
      <c r="A88" s="15"/>
      <c r="B88" s="15"/>
      <c r="C88" s="15"/>
      <c r="D88" s="15"/>
      <c r="E88" s="15"/>
      <c r="F88" s="15"/>
      <c r="G88" s="15"/>
      <c r="H88" s="15"/>
      <c r="I88" s="15"/>
    </row>
    <row r="89" spans="1:9" x14ac:dyDescent="0.35">
      <c r="A89" s="15"/>
      <c r="B89" s="15"/>
      <c r="C89" s="15"/>
      <c r="D89" s="15"/>
      <c r="E89" s="15"/>
      <c r="F89" s="15"/>
      <c r="G89" s="15"/>
      <c r="H89" s="15"/>
      <c r="I89" s="15"/>
    </row>
    <row r="90" spans="1:9" x14ac:dyDescent="0.35">
      <c r="A90" s="15"/>
      <c r="B90" s="15"/>
      <c r="C90" s="15"/>
      <c r="D90" s="15"/>
      <c r="E90" s="15"/>
      <c r="F90" s="15"/>
      <c r="G90" s="15"/>
      <c r="H90" s="15"/>
      <c r="I90" s="15"/>
    </row>
    <row r="91" spans="1:9" x14ac:dyDescent="0.35">
      <c r="A91" s="15"/>
      <c r="B91" s="15"/>
      <c r="C91" s="15"/>
      <c r="D91" s="15"/>
      <c r="E91" s="15"/>
      <c r="F91" s="15"/>
      <c r="G91" s="15"/>
      <c r="H91" s="15"/>
      <c r="I91" s="15"/>
    </row>
    <row r="92" spans="1:9" x14ac:dyDescent="0.35">
      <c r="A92" s="15"/>
      <c r="B92" s="15"/>
      <c r="C92" s="15"/>
      <c r="D92" s="15"/>
      <c r="E92" s="15"/>
      <c r="F92" s="15"/>
      <c r="G92" s="15"/>
      <c r="H92" s="15"/>
      <c r="I92" s="15"/>
    </row>
    <row r="93" spans="1:9" x14ac:dyDescent="0.35">
      <c r="A93" s="15"/>
      <c r="B93" s="15"/>
      <c r="C93" s="15"/>
      <c r="D93" s="15"/>
      <c r="E93" s="15"/>
      <c r="F93" s="15"/>
      <c r="G93" s="15"/>
      <c r="H93" s="15"/>
      <c r="I93" s="15"/>
    </row>
    <row r="94" spans="1:9" x14ac:dyDescent="0.35">
      <c r="A94" s="15"/>
      <c r="B94" s="15"/>
      <c r="C94" s="15"/>
      <c r="D94" s="15"/>
      <c r="E94" s="15"/>
      <c r="F94" s="15"/>
      <c r="G94" s="15"/>
      <c r="H94" s="15"/>
      <c r="I94" s="15"/>
    </row>
    <row r="95" spans="1:9" x14ac:dyDescent="0.35">
      <c r="A95" s="15"/>
      <c r="B95" s="15"/>
      <c r="C95" s="15"/>
      <c r="D95" s="15"/>
      <c r="E95" s="15"/>
      <c r="F95" s="15"/>
      <c r="G95" s="15"/>
      <c r="H95" s="15"/>
      <c r="I95" s="15"/>
    </row>
    <row r="96" spans="1:9" x14ac:dyDescent="0.35">
      <c r="A96" s="15"/>
      <c r="B96" s="15"/>
      <c r="C96" s="15"/>
      <c r="D96" s="15"/>
      <c r="E96" s="15"/>
      <c r="F96" s="15"/>
      <c r="G96" s="15"/>
      <c r="H96" s="15"/>
      <c r="I96" s="15"/>
    </row>
    <row r="97" spans="1:9" x14ac:dyDescent="0.35">
      <c r="A97" s="15"/>
      <c r="B97" s="15"/>
      <c r="C97" s="15"/>
      <c r="D97" s="15"/>
      <c r="E97" s="15"/>
      <c r="F97" s="15"/>
      <c r="G97" s="15"/>
      <c r="H97" s="15"/>
      <c r="I97" s="15"/>
    </row>
    <row r="98" spans="1:9" x14ac:dyDescent="0.35">
      <c r="A98" s="15"/>
      <c r="B98" s="15"/>
      <c r="C98" s="15"/>
      <c r="D98" s="15"/>
      <c r="E98" s="15"/>
      <c r="F98" s="15"/>
      <c r="G98" s="15"/>
      <c r="H98" s="15"/>
      <c r="I98" s="15"/>
    </row>
    <row r="99" spans="1:9" x14ac:dyDescent="0.35">
      <c r="A99" s="15"/>
      <c r="B99" s="15"/>
      <c r="C99" s="15"/>
      <c r="D99" s="15"/>
      <c r="E99" s="15"/>
      <c r="F99" s="15"/>
      <c r="G99" s="15"/>
      <c r="H99" s="15"/>
      <c r="I99" s="15"/>
    </row>
    <row r="100" spans="1:9" x14ac:dyDescent="0.35">
      <c r="A100" s="15"/>
      <c r="B100" s="15"/>
      <c r="C100" s="15"/>
      <c r="D100" s="15"/>
      <c r="E100" s="15"/>
      <c r="F100" s="15"/>
      <c r="G100" s="15"/>
      <c r="H100" s="15"/>
      <c r="I100" s="15"/>
    </row>
    <row r="101" spans="1:9" x14ac:dyDescent="0.35">
      <c r="A101" s="15"/>
      <c r="B101" s="15"/>
      <c r="C101" s="15"/>
      <c r="D101" s="15"/>
      <c r="E101" s="15"/>
      <c r="F101" s="15"/>
      <c r="G101" s="15"/>
      <c r="H101" s="15"/>
      <c r="I101" s="15"/>
    </row>
    <row r="102" spans="1:9" x14ac:dyDescent="0.35">
      <c r="A102" s="15"/>
      <c r="B102" s="15"/>
      <c r="C102" s="15"/>
      <c r="D102" s="15"/>
      <c r="E102" s="15"/>
      <c r="F102" s="15"/>
      <c r="G102" s="15"/>
      <c r="H102" s="15"/>
      <c r="I102" s="15"/>
    </row>
    <row r="103" spans="1:9" x14ac:dyDescent="0.35">
      <c r="A103" s="15"/>
      <c r="B103" s="15"/>
      <c r="C103" s="15"/>
      <c r="D103" s="15"/>
      <c r="E103" s="15"/>
      <c r="F103" s="15"/>
      <c r="G103" s="15"/>
      <c r="H103" s="15"/>
      <c r="I103" s="15"/>
    </row>
    <row r="104" spans="1:9" x14ac:dyDescent="0.35">
      <c r="A104" s="15"/>
      <c r="B104" s="15"/>
      <c r="C104" s="15"/>
      <c r="D104" s="15"/>
      <c r="E104" s="15"/>
      <c r="F104" s="15"/>
      <c r="G104" s="15"/>
      <c r="H104" s="15"/>
      <c r="I104" s="15"/>
    </row>
    <row r="105" spans="1:9" x14ac:dyDescent="0.35">
      <c r="A105" s="15"/>
      <c r="B105" s="15"/>
      <c r="C105" s="15"/>
      <c r="D105" s="15"/>
      <c r="E105" s="15"/>
      <c r="F105" s="15"/>
      <c r="G105" s="15"/>
      <c r="H105" s="15"/>
      <c r="I105" s="15"/>
    </row>
    <row r="106" spans="1:9" x14ac:dyDescent="0.35">
      <c r="A106" s="15"/>
      <c r="B106" s="15"/>
      <c r="C106" s="15"/>
      <c r="D106" s="15"/>
      <c r="E106" s="15"/>
      <c r="F106" s="15"/>
      <c r="G106" s="15"/>
      <c r="H106" s="15"/>
      <c r="I106" s="15"/>
    </row>
    <row r="107" spans="1:9" x14ac:dyDescent="0.35">
      <c r="A107" s="15"/>
      <c r="B107" s="15"/>
      <c r="C107" s="15"/>
      <c r="D107" s="15"/>
      <c r="E107" s="15"/>
      <c r="F107" s="15"/>
      <c r="G107" s="15"/>
      <c r="H107" s="15"/>
      <c r="I107" s="15"/>
    </row>
    <row r="108" spans="1:9" x14ac:dyDescent="0.35">
      <c r="A108" s="15"/>
      <c r="B108" s="15"/>
      <c r="C108" s="15"/>
      <c r="D108" s="15"/>
      <c r="E108" s="15"/>
      <c r="F108" s="15"/>
      <c r="G108" s="15"/>
      <c r="H108" s="15"/>
      <c r="I108" s="15"/>
    </row>
    <row r="109" spans="1:9" x14ac:dyDescent="0.35">
      <c r="A109" s="15"/>
      <c r="B109" s="15"/>
      <c r="C109" s="15"/>
      <c r="D109" s="15"/>
      <c r="E109" s="15"/>
      <c r="F109" s="15"/>
      <c r="G109" s="15"/>
      <c r="H109" s="15"/>
      <c r="I109" s="15"/>
    </row>
    <row r="110" spans="1:9" x14ac:dyDescent="0.35">
      <c r="A110" s="15"/>
      <c r="B110" s="15"/>
      <c r="C110" s="15"/>
      <c r="D110" s="15"/>
      <c r="E110" s="15"/>
      <c r="F110" s="15"/>
      <c r="G110" s="15"/>
      <c r="H110" s="15"/>
      <c r="I110" s="15"/>
    </row>
    <row r="111" spans="1:9" x14ac:dyDescent="0.35">
      <c r="A111" s="15"/>
      <c r="B111" s="15"/>
      <c r="C111" s="15"/>
      <c r="D111" s="15"/>
      <c r="E111" s="15"/>
      <c r="F111" s="15"/>
      <c r="G111" s="15"/>
      <c r="H111" s="15"/>
      <c r="I111" s="15"/>
    </row>
    <row r="112" spans="1:9" x14ac:dyDescent="0.35">
      <c r="A112" s="15"/>
      <c r="B112" s="15"/>
      <c r="C112" s="15"/>
      <c r="D112" s="15"/>
      <c r="E112" s="15"/>
      <c r="F112" s="15"/>
      <c r="G112" s="15"/>
      <c r="H112" s="15"/>
      <c r="I112" s="15"/>
    </row>
    <row r="113" spans="1:9" x14ac:dyDescent="0.35">
      <c r="A113" s="15"/>
      <c r="B113" s="15"/>
      <c r="C113" s="15"/>
      <c r="D113" s="15"/>
      <c r="E113" s="15"/>
      <c r="F113" s="15"/>
      <c r="G113" s="15"/>
      <c r="H113" s="15"/>
      <c r="I113" s="15"/>
    </row>
    <row r="114" spans="1:9" x14ac:dyDescent="0.35">
      <c r="A114" s="15"/>
      <c r="B114" s="15"/>
      <c r="C114" s="15"/>
      <c r="D114" s="15"/>
      <c r="E114" s="15"/>
      <c r="F114" s="15"/>
      <c r="G114" s="15"/>
      <c r="H114" s="15"/>
      <c r="I114" s="15"/>
    </row>
    <row r="115" spans="1:9" x14ac:dyDescent="0.35">
      <c r="A115" s="15"/>
      <c r="B115" s="15"/>
      <c r="C115" s="15"/>
      <c r="D115" s="15"/>
      <c r="E115" s="15"/>
      <c r="F115" s="15"/>
      <c r="G115" s="15"/>
      <c r="H115" s="15"/>
      <c r="I115" s="15"/>
    </row>
    <row r="116" spans="1:9" x14ac:dyDescent="0.35">
      <c r="A116" s="15"/>
      <c r="B116" s="15"/>
      <c r="C116" s="15"/>
      <c r="D116" s="15"/>
      <c r="E116" s="15"/>
      <c r="F116" s="15"/>
      <c r="G116" s="15"/>
      <c r="H116" s="15"/>
      <c r="I116" s="15"/>
    </row>
    <row r="117" spans="1:9" x14ac:dyDescent="0.35">
      <c r="A117" s="15"/>
      <c r="B117" s="15"/>
      <c r="C117" s="15"/>
      <c r="D117" s="15"/>
      <c r="E117" s="15"/>
      <c r="F117" s="15"/>
      <c r="G117" s="15"/>
      <c r="H117" s="15"/>
      <c r="I117" s="15"/>
    </row>
    <row r="118" spans="1:9" x14ac:dyDescent="0.35">
      <c r="A118" s="15"/>
      <c r="B118" s="15"/>
      <c r="C118" s="15"/>
      <c r="D118" s="15"/>
      <c r="E118" s="15"/>
      <c r="F118" s="15"/>
      <c r="G118" s="15"/>
      <c r="H118" s="15"/>
      <c r="I118" s="15"/>
    </row>
    <row r="119" spans="1:9" x14ac:dyDescent="0.35">
      <c r="A119" s="15"/>
      <c r="B119" s="15"/>
      <c r="C119" s="15"/>
      <c r="D119" s="15"/>
      <c r="E119" s="15"/>
      <c r="F119" s="15"/>
      <c r="G119" s="15"/>
      <c r="H119" s="15"/>
      <c r="I119" s="15"/>
    </row>
    <row r="120" spans="1:9" x14ac:dyDescent="0.35">
      <c r="A120" s="15"/>
      <c r="B120" s="15"/>
      <c r="C120" s="15"/>
      <c r="D120" s="15"/>
      <c r="E120" s="15"/>
      <c r="F120" s="15"/>
      <c r="G120" s="15"/>
      <c r="H120" s="15"/>
      <c r="I120" s="15"/>
    </row>
    <row r="121" spans="1:9" x14ac:dyDescent="0.35">
      <c r="A121" s="15"/>
      <c r="B121" s="15"/>
      <c r="C121" s="15"/>
      <c r="D121" s="15"/>
      <c r="E121" s="15"/>
      <c r="F121" s="15"/>
      <c r="G121" s="15"/>
      <c r="H121" s="15"/>
      <c r="I121" s="15"/>
    </row>
    <row r="122" spans="1:9" x14ac:dyDescent="0.35">
      <c r="A122" s="15"/>
      <c r="B122" s="15"/>
      <c r="C122" s="15"/>
      <c r="D122" s="15"/>
      <c r="E122" s="15"/>
      <c r="F122" s="15"/>
      <c r="G122" s="15"/>
      <c r="H122" s="15"/>
      <c r="I122" s="15"/>
    </row>
    <row r="123" spans="1:9" x14ac:dyDescent="0.35">
      <c r="A123" s="15"/>
      <c r="B123" s="15"/>
      <c r="C123" s="15"/>
      <c r="D123" s="15"/>
      <c r="E123" s="15"/>
      <c r="F123" s="15"/>
      <c r="G123" s="15"/>
      <c r="H123" s="15"/>
      <c r="I123" s="15"/>
    </row>
    <row r="124" spans="1:9" x14ac:dyDescent="0.35">
      <c r="A124" s="15"/>
      <c r="B124" s="15"/>
      <c r="C124" s="15"/>
      <c r="D124" s="15"/>
      <c r="E124" s="15"/>
      <c r="F124" s="15"/>
      <c r="G124" s="15"/>
      <c r="H124" s="15"/>
      <c r="I124" s="15"/>
    </row>
    <row r="125" spans="1:9" x14ac:dyDescent="0.35">
      <c r="A125" s="15"/>
      <c r="B125" s="15"/>
      <c r="C125" s="15"/>
      <c r="D125" s="15"/>
      <c r="E125" s="15"/>
      <c r="F125" s="15"/>
      <c r="G125" s="15"/>
      <c r="H125" s="15"/>
      <c r="I125" s="15"/>
    </row>
    <row r="126" spans="1:9" x14ac:dyDescent="0.35">
      <c r="A126" s="15"/>
      <c r="B126" s="15"/>
      <c r="C126" s="15"/>
      <c r="D126" s="15"/>
      <c r="E126" s="15"/>
      <c r="F126" s="15"/>
      <c r="G126" s="15"/>
      <c r="H126" s="15"/>
      <c r="I126" s="15"/>
    </row>
    <row r="127" spans="1:9" x14ac:dyDescent="0.35">
      <c r="A127" s="15"/>
      <c r="B127" s="15"/>
      <c r="C127" s="15"/>
      <c r="D127" s="15"/>
      <c r="E127" s="15"/>
      <c r="F127" s="15"/>
      <c r="G127" s="15"/>
      <c r="H127" s="15"/>
      <c r="I127" s="15"/>
    </row>
    <row r="128" spans="1:9" x14ac:dyDescent="0.35">
      <c r="A128" s="15"/>
      <c r="B128" s="15"/>
      <c r="C128" s="15"/>
      <c r="D128" s="15"/>
      <c r="E128" s="15"/>
      <c r="F128" s="15"/>
      <c r="G128" s="15"/>
      <c r="H128" s="15"/>
      <c r="I128" s="15"/>
    </row>
    <row r="129" spans="1:9" x14ac:dyDescent="0.35">
      <c r="A129" s="15"/>
      <c r="B129" s="15"/>
      <c r="C129" s="15"/>
      <c r="D129" s="15"/>
      <c r="E129" s="15"/>
      <c r="F129" s="15"/>
      <c r="G129" s="15"/>
      <c r="H129" s="15"/>
      <c r="I129" s="15"/>
    </row>
    <row r="130" spans="1:9" x14ac:dyDescent="0.35">
      <c r="A130" s="15"/>
      <c r="B130" s="15"/>
      <c r="C130" s="15"/>
      <c r="D130" s="15"/>
      <c r="E130" s="15"/>
      <c r="F130" s="15"/>
      <c r="G130" s="15"/>
      <c r="H130" s="15"/>
      <c r="I130" s="15"/>
    </row>
    <row r="131" spans="1:9" x14ac:dyDescent="0.35">
      <c r="A131" s="15"/>
      <c r="B131" s="15"/>
      <c r="C131" s="15"/>
      <c r="D131" s="15"/>
      <c r="E131" s="15"/>
      <c r="F131" s="15"/>
      <c r="G131" s="15"/>
      <c r="H131" s="15"/>
      <c r="I131" s="15"/>
    </row>
    <row r="132" spans="1:9" x14ac:dyDescent="0.35">
      <c r="A132" s="15"/>
      <c r="B132" s="15"/>
      <c r="C132" s="15"/>
      <c r="D132" s="15"/>
      <c r="E132" s="15"/>
      <c r="F132" s="15"/>
      <c r="G132" s="15"/>
      <c r="H132" s="15"/>
      <c r="I132" s="15"/>
    </row>
    <row r="133" spans="1:9" x14ac:dyDescent="0.35">
      <c r="A133" s="15"/>
      <c r="B133" s="15"/>
      <c r="C133" s="15"/>
      <c r="D133" s="15"/>
      <c r="E133" s="15"/>
      <c r="F133" s="15"/>
      <c r="G133" s="15"/>
      <c r="H133" s="15"/>
      <c r="I133" s="15"/>
    </row>
    <row r="134" spans="1:9" x14ac:dyDescent="0.35">
      <c r="A134" s="15"/>
      <c r="B134" s="15"/>
      <c r="C134" s="15"/>
      <c r="D134" s="15"/>
      <c r="E134" s="15"/>
      <c r="F134" s="15"/>
      <c r="G134" s="15"/>
      <c r="H134" s="15"/>
      <c r="I134" s="15"/>
    </row>
    <row r="135" spans="1:9" x14ac:dyDescent="0.35">
      <c r="A135" s="15"/>
      <c r="B135" s="15"/>
      <c r="C135" s="15"/>
      <c r="D135" s="15"/>
      <c r="E135" s="15"/>
      <c r="F135" s="15"/>
      <c r="G135" s="15"/>
      <c r="H135" s="15"/>
      <c r="I135" s="15"/>
    </row>
    <row r="136" spans="1:9" x14ac:dyDescent="0.35">
      <c r="A136" s="15"/>
      <c r="B136" s="15"/>
      <c r="C136" s="15"/>
      <c r="D136" s="15"/>
      <c r="E136" s="15"/>
      <c r="F136" s="15"/>
      <c r="G136" s="15"/>
      <c r="H136" s="15"/>
      <c r="I136" s="15"/>
    </row>
    <row r="137" spans="1:9" x14ac:dyDescent="0.35">
      <c r="A137" s="15"/>
      <c r="B137" s="15"/>
      <c r="C137" s="15"/>
      <c r="D137" s="15"/>
      <c r="E137" s="15"/>
      <c r="F137" s="15"/>
      <c r="G137" s="15"/>
      <c r="H137" s="15"/>
      <c r="I137" s="15"/>
    </row>
    <row r="138" spans="1:9" x14ac:dyDescent="0.35">
      <c r="A138" s="15"/>
      <c r="B138" s="15"/>
      <c r="C138" s="15"/>
      <c r="D138" s="15"/>
      <c r="E138" s="15"/>
      <c r="F138" s="15"/>
      <c r="G138" s="15"/>
      <c r="H138" s="15"/>
      <c r="I138" s="15"/>
    </row>
    <row r="139" spans="1:9" x14ac:dyDescent="0.35">
      <c r="A139" s="15"/>
      <c r="B139" s="15"/>
      <c r="C139" s="15"/>
      <c r="D139" s="15"/>
      <c r="E139" s="15"/>
      <c r="F139" s="15"/>
      <c r="G139" s="15"/>
      <c r="H139" s="15"/>
      <c r="I139" s="15"/>
    </row>
    <row r="140" spans="1:9" x14ac:dyDescent="0.35">
      <c r="A140" s="15"/>
      <c r="B140" s="15"/>
      <c r="C140" s="15"/>
      <c r="D140" s="15"/>
      <c r="E140" s="15"/>
      <c r="F140" s="15"/>
      <c r="G140" s="15"/>
      <c r="H140" s="15"/>
      <c r="I140" s="15"/>
    </row>
    <row r="141" spans="1:9" x14ac:dyDescent="0.35">
      <c r="A141" s="15"/>
      <c r="B141" s="15"/>
      <c r="C141" s="15"/>
      <c r="D141" s="15"/>
      <c r="E141" s="15"/>
      <c r="F141" s="15"/>
      <c r="G141" s="15"/>
      <c r="H141" s="15"/>
      <c r="I141" s="15"/>
    </row>
    <row r="142" spans="1:9" x14ac:dyDescent="0.35">
      <c r="A142" s="15"/>
      <c r="B142" s="15"/>
      <c r="C142" s="15"/>
      <c r="D142" s="15"/>
      <c r="E142" s="15"/>
      <c r="F142" s="15"/>
      <c r="G142" s="15"/>
      <c r="H142" s="15"/>
      <c r="I142" s="15"/>
    </row>
    <row r="143" spans="1:9" x14ac:dyDescent="0.35">
      <c r="A143" s="15"/>
      <c r="B143" s="15"/>
      <c r="C143" s="15"/>
      <c r="D143" s="15"/>
      <c r="E143" s="15"/>
      <c r="F143" s="15"/>
      <c r="G143" s="15"/>
      <c r="H143" s="15"/>
      <c r="I143" s="15"/>
    </row>
    <row r="144" spans="1:9" x14ac:dyDescent="0.35">
      <c r="A144" s="15"/>
      <c r="B144" s="15"/>
      <c r="C144" s="15"/>
      <c r="D144" s="15"/>
      <c r="E144" s="15"/>
      <c r="F144" s="15"/>
      <c r="G144" s="15"/>
      <c r="H144" s="15"/>
      <c r="I144" s="15"/>
    </row>
    <row r="145" spans="1:9" x14ac:dyDescent="0.35">
      <c r="A145" s="15"/>
      <c r="B145" s="15"/>
      <c r="C145" s="15"/>
      <c r="D145" s="15"/>
      <c r="E145" s="15"/>
      <c r="F145" s="15"/>
      <c r="G145" s="15"/>
      <c r="H145" s="15"/>
      <c r="I145" s="15"/>
    </row>
    <row r="146" spans="1:9" x14ac:dyDescent="0.35">
      <c r="A146" s="15"/>
      <c r="B146" s="15"/>
      <c r="C146" s="15"/>
      <c r="D146" s="15"/>
      <c r="E146" s="15"/>
      <c r="F146" s="15"/>
      <c r="G146" s="15"/>
      <c r="H146" s="15"/>
      <c r="I146" s="15"/>
    </row>
    <row r="147" spans="1:9" x14ac:dyDescent="0.35">
      <c r="A147" s="15"/>
      <c r="B147" s="15"/>
      <c r="C147" s="15"/>
      <c r="D147" s="15"/>
      <c r="E147" s="15"/>
      <c r="F147" s="15"/>
      <c r="G147" s="15"/>
      <c r="H147" s="15"/>
      <c r="I147" s="15"/>
    </row>
    <row r="148" spans="1:9" x14ac:dyDescent="0.35">
      <c r="A148" s="15"/>
      <c r="B148" s="15"/>
      <c r="C148" s="15"/>
      <c r="D148" s="15"/>
      <c r="E148" s="15"/>
      <c r="F148" s="15"/>
      <c r="G148" s="15"/>
      <c r="H148" s="15"/>
      <c r="I148" s="15"/>
    </row>
    <row r="149" spans="1:9" x14ac:dyDescent="0.35">
      <c r="A149" s="15"/>
      <c r="B149" s="15"/>
      <c r="C149" s="15"/>
      <c r="D149" s="15"/>
      <c r="E149" s="15"/>
      <c r="F149" s="15"/>
      <c r="G149" s="15"/>
      <c r="H149" s="15"/>
      <c r="I149" s="15"/>
    </row>
    <row r="150" spans="1:9" x14ac:dyDescent="0.35">
      <c r="A150" s="15"/>
      <c r="B150" s="15"/>
      <c r="C150" s="15"/>
      <c r="D150" s="15"/>
      <c r="E150" s="15"/>
      <c r="F150" s="15"/>
      <c r="G150" s="15"/>
      <c r="H150" s="15"/>
      <c r="I150" s="15"/>
    </row>
    <row r="151" spans="1:9" x14ac:dyDescent="0.35">
      <c r="A151" s="15"/>
      <c r="B151" s="15"/>
      <c r="C151" s="15"/>
      <c r="D151" s="15"/>
      <c r="E151" s="15"/>
      <c r="F151" s="15"/>
      <c r="G151" s="15"/>
      <c r="H151" s="15"/>
      <c r="I151" s="15"/>
    </row>
    <row r="152" spans="1:9" x14ac:dyDescent="0.35">
      <c r="A152" s="15"/>
      <c r="B152" s="15"/>
      <c r="C152" s="15"/>
      <c r="D152" s="15"/>
      <c r="E152" s="15"/>
      <c r="F152" s="15"/>
      <c r="G152" s="15"/>
      <c r="H152" s="15"/>
      <c r="I152" s="15"/>
    </row>
    <row r="153" spans="1:9" x14ac:dyDescent="0.35">
      <c r="A153" s="15"/>
      <c r="B153" s="15"/>
      <c r="C153" s="15"/>
      <c r="D153" s="15"/>
      <c r="E153" s="15"/>
      <c r="F153" s="15"/>
      <c r="G153" s="15"/>
      <c r="H153" s="15"/>
      <c r="I153" s="15"/>
    </row>
    <row r="154" spans="1:9" x14ac:dyDescent="0.35">
      <c r="A154" s="15"/>
      <c r="B154" s="15"/>
      <c r="C154" s="15"/>
      <c r="D154" s="15"/>
      <c r="E154" s="15"/>
      <c r="F154" s="15"/>
      <c r="G154" s="15"/>
      <c r="H154" s="15"/>
      <c r="I154" s="15"/>
    </row>
    <row r="155" spans="1:9" x14ac:dyDescent="0.35">
      <c r="A155" s="15"/>
      <c r="B155" s="15"/>
      <c r="C155" s="15"/>
      <c r="D155" s="15"/>
      <c r="E155" s="15"/>
      <c r="F155" s="15"/>
      <c r="G155" s="15"/>
      <c r="H155" s="15"/>
      <c r="I155" s="15"/>
    </row>
    <row r="156" spans="1:9" x14ac:dyDescent="0.35">
      <c r="A156" s="15"/>
      <c r="B156" s="15"/>
      <c r="C156" s="15"/>
      <c r="D156" s="15"/>
      <c r="E156" s="15"/>
      <c r="F156" s="15"/>
      <c r="G156" s="15"/>
      <c r="H156" s="15"/>
      <c r="I156" s="15"/>
    </row>
    <row r="157" spans="1:9" x14ac:dyDescent="0.35">
      <c r="A157" s="15"/>
      <c r="B157" s="15"/>
      <c r="C157" s="15"/>
      <c r="D157" s="15"/>
      <c r="E157" s="15"/>
      <c r="F157" s="15"/>
      <c r="G157" s="15"/>
      <c r="H157" s="15"/>
      <c r="I157" s="15"/>
    </row>
    <row r="158" spans="1:9" x14ac:dyDescent="0.35">
      <c r="A158" s="15"/>
      <c r="B158" s="15"/>
      <c r="C158" s="15"/>
      <c r="D158" s="15"/>
      <c r="E158" s="15"/>
      <c r="F158" s="15"/>
      <c r="G158" s="15"/>
      <c r="H158" s="15"/>
      <c r="I158" s="15"/>
    </row>
    <row r="159" spans="1:9" x14ac:dyDescent="0.35">
      <c r="A159" s="15"/>
      <c r="B159" s="15"/>
      <c r="C159" s="15"/>
      <c r="D159" s="15"/>
      <c r="E159" s="15"/>
      <c r="F159" s="15"/>
      <c r="G159" s="15"/>
      <c r="H159" s="15"/>
      <c r="I159" s="15"/>
    </row>
    <row r="160" spans="1:9" x14ac:dyDescent="0.35">
      <c r="A160" s="15"/>
      <c r="B160" s="15"/>
      <c r="C160" s="15"/>
      <c r="D160" s="15"/>
      <c r="E160" s="15"/>
      <c r="F160" s="15"/>
      <c r="G160" s="15"/>
      <c r="H160" s="15"/>
      <c r="I160" s="15"/>
    </row>
    <row r="161" spans="1:9" x14ac:dyDescent="0.35">
      <c r="A161" s="15"/>
      <c r="B161" s="15"/>
      <c r="C161" s="15"/>
      <c r="D161" s="15"/>
      <c r="E161" s="15"/>
      <c r="F161" s="15"/>
      <c r="G161" s="15"/>
      <c r="H161" s="15"/>
      <c r="I161" s="15"/>
    </row>
    <row r="162" spans="1:9" x14ac:dyDescent="0.35">
      <c r="A162" s="15"/>
      <c r="B162" s="15"/>
      <c r="C162" s="15"/>
      <c r="D162" s="15"/>
      <c r="E162" s="15"/>
      <c r="F162" s="15"/>
      <c r="G162" s="15"/>
      <c r="H162" s="15"/>
      <c r="I162" s="15"/>
    </row>
    <row r="163" spans="1:9" x14ac:dyDescent="0.35">
      <c r="A163" s="15"/>
      <c r="B163" s="15"/>
      <c r="C163" s="15"/>
      <c r="D163" s="15"/>
      <c r="E163" s="15"/>
      <c r="F163" s="15"/>
      <c r="G163" s="15"/>
      <c r="H163" s="15"/>
      <c r="I163" s="15"/>
    </row>
    <row r="164" spans="1:9" x14ac:dyDescent="0.35">
      <c r="A164" s="15"/>
      <c r="B164" s="15"/>
      <c r="C164" s="15"/>
      <c r="D164" s="15"/>
      <c r="E164" s="15"/>
      <c r="F164" s="15"/>
      <c r="G164" s="15"/>
      <c r="H164" s="15"/>
      <c r="I164" s="15"/>
    </row>
    <row r="165" spans="1:9" x14ac:dyDescent="0.35">
      <c r="A165" s="15"/>
      <c r="B165" s="15"/>
      <c r="C165" s="15"/>
      <c r="D165" s="15"/>
      <c r="E165" s="15"/>
      <c r="F165" s="15"/>
      <c r="G165" s="15"/>
      <c r="H165" s="15"/>
      <c r="I165" s="15"/>
    </row>
    <row r="166" spans="1:9" x14ac:dyDescent="0.35">
      <c r="A166" s="15"/>
      <c r="B166" s="15"/>
      <c r="C166" s="15"/>
      <c r="D166" s="15"/>
      <c r="E166" s="15"/>
      <c r="F166" s="15"/>
      <c r="G166" s="15"/>
      <c r="H166" s="15"/>
      <c r="I166" s="15"/>
    </row>
    <row r="167" spans="1:9" x14ac:dyDescent="0.35">
      <c r="A167" s="15"/>
      <c r="B167" s="15"/>
      <c r="C167" s="15"/>
      <c r="D167" s="15"/>
      <c r="E167" s="15"/>
      <c r="F167" s="15"/>
      <c r="G167" s="15"/>
      <c r="H167" s="15"/>
      <c r="I167" s="15"/>
    </row>
    <row r="168" spans="1:9" x14ac:dyDescent="0.35">
      <c r="A168" s="15"/>
      <c r="B168" s="15"/>
      <c r="C168" s="15"/>
      <c r="D168" s="15"/>
      <c r="E168" s="15"/>
      <c r="F168" s="15"/>
      <c r="G168" s="15"/>
      <c r="H168" s="15"/>
      <c r="I168" s="15"/>
    </row>
    <row r="169" spans="1:9" x14ac:dyDescent="0.35">
      <c r="A169" s="15"/>
      <c r="B169" s="15"/>
      <c r="C169" s="15"/>
      <c r="D169" s="15"/>
      <c r="E169" s="15"/>
      <c r="F169" s="15"/>
      <c r="G169" s="15"/>
      <c r="H169" s="15"/>
      <c r="I169" s="15"/>
    </row>
    <row r="170" spans="1:9" x14ac:dyDescent="0.35">
      <c r="A170" s="15"/>
      <c r="B170" s="15"/>
      <c r="C170" s="15"/>
      <c r="D170" s="15"/>
      <c r="E170" s="15"/>
      <c r="F170" s="15"/>
      <c r="G170" s="15"/>
      <c r="H170" s="15"/>
      <c r="I170" s="15"/>
    </row>
    <row r="171" spans="1:9" x14ac:dyDescent="0.35">
      <c r="A171" s="15"/>
      <c r="B171" s="15"/>
      <c r="C171" s="15"/>
      <c r="D171" s="15"/>
      <c r="E171" s="15"/>
      <c r="F171" s="15"/>
      <c r="G171" s="15"/>
      <c r="H171" s="15"/>
      <c r="I171" s="15"/>
    </row>
    <row r="172" spans="1:9" x14ac:dyDescent="0.35">
      <c r="A172" s="15"/>
      <c r="B172" s="15"/>
      <c r="C172" s="15"/>
      <c r="D172" s="15"/>
      <c r="E172" s="15"/>
      <c r="F172" s="15"/>
      <c r="G172" s="15"/>
      <c r="H172" s="15"/>
      <c r="I172" s="15"/>
    </row>
    <row r="173" spans="1:9" x14ac:dyDescent="0.35">
      <c r="A173" s="15"/>
      <c r="B173" s="15"/>
      <c r="C173" s="15"/>
      <c r="D173" s="15"/>
      <c r="E173" s="15"/>
      <c r="F173" s="15"/>
      <c r="G173" s="15"/>
      <c r="H173" s="15"/>
      <c r="I173" s="15"/>
    </row>
    <row r="174" spans="1:9" x14ac:dyDescent="0.35">
      <c r="A174" s="15"/>
      <c r="B174" s="15"/>
      <c r="C174" s="15"/>
      <c r="D174" s="15"/>
      <c r="E174" s="15"/>
      <c r="F174" s="15"/>
      <c r="G174" s="15"/>
      <c r="H174" s="15"/>
      <c r="I174" s="15"/>
    </row>
    <row r="175" spans="1:9" x14ac:dyDescent="0.35">
      <c r="A175" s="15"/>
      <c r="B175" s="15"/>
      <c r="C175" s="15"/>
      <c r="D175" s="15"/>
      <c r="E175" s="15"/>
      <c r="F175" s="15"/>
      <c r="G175" s="15"/>
      <c r="H175" s="15"/>
      <c r="I175" s="15"/>
    </row>
    <row r="176" spans="1:9" x14ac:dyDescent="0.35">
      <c r="A176" s="15"/>
      <c r="B176" s="15"/>
      <c r="C176" s="15"/>
      <c r="D176" s="15"/>
      <c r="E176" s="15"/>
      <c r="F176" s="15"/>
      <c r="G176" s="15"/>
      <c r="H176" s="15"/>
      <c r="I176" s="15"/>
    </row>
    <row r="177" spans="1:9" x14ac:dyDescent="0.35">
      <c r="A177" s="15"/>
      <c r="B177" s="15"/>
      <c r="C177" s="15"/>
      <c r="D177" s="15"/>
      <c r="E177" s="15"/>
      <c r="F177" s="15"/>
      <c r="G177" s="15"/>
      <c r="H177" s="15"/>
      <c r="I177" s="15"/>
    </row>
    <row r="178" spans="1:9" x14ac:dyDescent="0.35">
      <c r="A178" s="15"/>
      <c r="B178" s="15"/>
      <c r="C178" s="15"/>
      <c r="D178" s="15"/>
      <c r="E178" s="15"/>
      <c r="F178" s="15"/>
      <c r="G178" s="15"/>
      <c r="H178" s="15"/>
      <c r="I178" s="15"/>
    </row>
    <row r="179" spans="1:9" x14ac:dyDescent="0.35">
      <c r="A179" s="15"/>
      <c r="B179" s="15"/>
      <c r="C179" s="15"/>
      <c r="D179" s="15"/>
      <c r="E179" s="15"/>
      <c r="F179" s="15"/>
      <c r="G179" s="15"/>
      <c r="H179" s="15"/>
      <c r="I179" s="15"/>
    </row>
    <row r="180" spans="1:9" x14ac:dyDescent="0.35">
      <c r="A180" s="15"/>
      <c r="B180" s="15"/>
      <c r="C180" s="15"/>
      <c r="D180" s="15"/>
      <c r="E180" s="15"/>
      <c r="F180" s="15"/>
      <c r="G180" s="15"/>
      <c r="H180" s="15"/>
      <c r="I180" s="15"/>
    </row>
    <row r="181" spans="1:9" x14ac:dyDescent="0.35">
      <c r="A181" s="15"/>
      <c r="B181" s="15"/>
      <c r="C181" s="15"/>
      <c r="D181" s="15"/>
      <c r="E181" s="15"/>
      <c r="F181" s="15"/>
      <c r="G181" s="15"/>
      <c r="H181" s="15"/>
      <c r="I181" s="15"/>
    </row>
    <row r="182" spans="1:9" x14ac:dyDescent="0.35">
      <c r="A182" s="15"/>
      <c r="B182" s="15"/>
      <c r="C182" s="15"/>
      <c r="D182" s="15"/>
      <c r="E182" s="15"/>
      <c r="F182" s="15"/>
      <c r="G182" s="15"/>
      <c r="H182" s="15"/>
      <c r="I182" s="15"/>
    </row>
    <row r="183" spans="1:9" x14ac:dyDescent="0.35">
      <c r="A183" s="15"/>
      <c r="B183" s="15"/>
      <c r="C183" s="15"/>
      <c r="D183" s="15"/>
      <c r="E183" s="15"/>
      <c r="F183" s="15"/>
      <c r="G183" s="15"/>
      <c r="H183" s="15"/>
      <c r="I183" s="15"/>
    </row>
    <row r="184" spans="1:9" x14ac:dyDescent="0.35">
      <c r="A184" s="15"/>
      <c r="B184" s="15"/>
      <c r="C184" s="15"/>
      <c r="D184" s="15"/>
      <c r="E184" s="15"/>
      <c r="F184" s="15"/>
      <c r="G184" s="15"/>
      <c r="H184" s="15"/>
      <c r="I184" s="15"/>
    </row>
    <row r="185" spans="1:9" x14ac:dyDescent="0.35">
      <c r="A185" s="15"/>
      <c r="B185" s="15"/>
      <c r="C185" s="15"/>
      <c r="D185" s="15"/>
      <c r="E185" s="15"/>
      <c r="F185" s="15"/>
      <c r="G185" s="15"/>
      <c r="H185" s="15"/>
      <c r="I185" s="15"/>
    </row>
    <row r="186" spans="1:9" x14ac:dyDescent="0.35">
      <c r="A186" s="15"/>
      <c r="B186" s="15"/>
      <c r="C186" s="15"/>
      <c r="D186" s="15"/>
      <c r="E186" s="15"/>
      <c r="F186" s="15"/>
      <c r="G186" s="15"/>
      <c r="H186" s="15"/>
      <c r="I186" s="15"/>
    </row>
    <row r="187" spans="1:9" x14ac:dyDescent="0.35">
      <c r="A187" s="15"/>
      <c r="B187" s="15"/>
      <c r="C187" s="15"/>
      <c r="D187" s="15"/>
      <c r="E187" s="15"/>
      <c r="F187" s="15"/>
      <c r="G187" s="15"/>
      <c r="H187" s="15"/>
      <c r="I187" s="15"/>
    </row>
    <row r="188" spans="1:9" x14ac:dyDescent="0.35">
      <c r="A188" s="15"/>
      <c r="B188" s="15"/>
      <c r="C188" s="15"/>
      <c r="D188" s="15"/>
      <c r="E188" s="15"/>
      <c r="F188" s="15"/>
      <c r="G188" s="15"/>
      <c r="H188" s="15"/>
      <c r="I188" s="15"/>
    </row>
    <row r="189" spans="1:9" x14ac:dyDescent="0.35">
      <c r="A189" s="15"/>
      <c r="B189" s="15"/>
      <c r="C189" s="15"/>
      <c r="D189" s="15"/>
      <c r="E189" s="15"/>
      <c r="F189" s="15"/>
      <c r="G189" s="15"/>
      <c r="H189" s="15"/>
      <c r="I189" s="15"/>
    </row>
    <row r="190" spans="1:9" x14ac:dyDescent="0.35">
      <c r="A190" s="15"/>
      <c r="B190" s="15"/>
      <c r="C190" s="15"/>
      <c r="D190" s="15"/>
      <c r="E190" s="15"/>
      <c r="F190" s="15"/>
      <c r="G190" s="15"/>
      <c r="H190" s="15"/>
      <c r="I190" s="15"/>
    </row>
    <row r="191" spans="1:9" x14ac:dyDescent="0.35">
      <c r="A191" s="15"/>
      <c r="B191" s="15"/>
      <c r="C191" s="15"/>
      <c r="D191" s="15"/>
      <c r="E191" s="15"/>
      <c r="F191" s="15"/>
      <c r="G191" s="15"/>
      <c r="H191" s="15"/>
      <c r="I191" s="15"/>
    </row>
    <row r="192" spans="1:9" x14ac:dyDescent="0.35">
      <c r="A192" s="15"/>
      <c r="B192" s="15"/>
      <c r="C192" s="15"/>
      <c r="D192" s="15"/>
      <c r="E192" s="15"/>
      <c r="F192" s="15"/>
      <c r="G192" s="15"/>
      <c r="H192" s="15"/>
      <c r="I192" s="15"/>
    </row>
    <row r="193" spans="1:9" x14ac:dyDescent="0.35">
      <c r="A193" s="15"/>
      <c r="B193" s="15"/>
      <c r="C193" s="15"/>
      <c r="D193" s="15"/>
      <c r="E193" s="15"/>
      <c r="F193" s="15"/>
      <c r="G193" s="15"/>
      <c r="H193" s="15"/>
      <c r="I193" s="15"/>
    </row>
    <row r="194" spans="1:9" x14ac:dyDescent="0.35">
      <c r="A194" s="15"/>
      <c r="B194" s="15"/>
      <c r="C194" s="15"/>
      <c r="D194" s="15"/>
      <c r="E194" s="15"/>
      <c r="F194" s="15"/>
      <c r="G194" s="15"/>
      <c r="H194" s="15"/>
      <c r="I194" s="15"/>
    </row>
    <row r="195" spans="1:9" x14ac:dyDescent="0.35">
      <c r="A195" s="15"/>
      <c r="B195" s="15"/>
      <c r="C195" s="15"/>
      <c r="D195" s="15"/>
      <c r="E195" s="15"/>
      <c r="F195" s="15"/>
      <c r="G195" s="15"/>
      <c r="H195" s="15"/>
      <c r="I195" s="15"/>
    </row>
    <row r="196" spans="1:9" x14ac:dyDescent="0.35">
      <c r="A196" s="15"/>
      <c r="B196" s="15"/>
      <c r="C196" s="15"/>
      <c r="D196" s="15"/>
      <c r="E196" s="15"/>
      <c r="F196" s="15"/>
      <c r="G196" s="15"/>
      <c r="H196" s="15"/>
      <c r="I196" s="15"/>
    </row>
    <row r="197" spans="1:9" x14ac:dyDescent="0.35">
      <c r="A197" s="15"/>
      <c r="B197" s="15"/>
      <c r="C197" s="15"/>
      <c r="D197" s="15"/>
      <c r="E197" s="15"/>
      <c r="F197" s="15"/>
      <c r="G197" s="15"/>
      <c r="H197" s="15"/>
      <c r="I197" s="15"/>
    </row>
    <row r="198" spans="1:9" x14ac:dyDescent="0.35">
      <c r="A198" s="15"/>
      <c r="B198" s="15"/>
      <c r="C198" s="15"/>
      <c r="D198" s="15"/>
      <c r="E198" s="15"/>
      <c r="F198" s="15"/>
      <c r="G198" s="15"/>
      <c r="H198" s="15"/>
      <c r="I198" s="15"/>
    </row>
    <row r="199" spans="1:9" x14ac:dyDescent="0.35">
      <c r="A199" s="15"/>
      <c r="B199" s="15"/>
      <c r="C199" s="15"/>
      <c r="D199" s="15"/>
      <c r="E199" s="15"/>
      <c r="F199" s="15"/>
      <c r="G199" s="15"/>
      <c r="H199" s="15"/>
      <c r="I199" s="15"/>
    </row>
    <row r="200" spans="1:9" x14ac:dyDescent="0.35">
      <c r="A200" s="15"/>
      <c r="B200" s="15"/>
      <c r="C200" s="15"/>
      <c r="D200" s="15"/>
      <c r="E200" s="15"/>
      <c r="F200" s="15"/>
      <c r="G200" s="15"/>
      <c r="H200" s="15"/>
      <c r="I200" s="15"/>
    </row>
    <row r="201" spans="1:9" x14ac:dyDescent="0.35">
      <c r="A201" s="15"/>
      <c r="B201" s="15"/>
      <c r="C201" s="15"/>
      <c r="D201" s="15"/>
      <c r="E201" s="15"/>
      <c r="F201" s="15"/>
      <c r="G201" s="15"/>
      <c r="H201" s="15"/>
      <c r="I201" s="15"/>
    </row>
    <row r="202" spans="1:9" x14ac:dyDescent="0.35">
      <c r="A202" s="15"/>
      <c r="B202" s="15"/>
      <c r="C202" s="15"/>
      <c r="D202" s="15"/>
      <c r="E202" s="15"/>
      <c r="F202" s="15"/>
      <c r="G202" s="15"/>
      <c r="H202" s="15"/>
      <c r="I202" s="15"/>
    </row>
    <row r="203" spans="1:9" x14ac:dyDescent="0.35">
      <c r="A203" s="15"/>
      <c r="B203" s="15"/>
      <c r="C203" s="15"/>
      <c r="D203" s="15"/>
      <c r="E203" s="15"/>
      <c r="F203" s="15"/>
      <c r="G203" s="15"/>
      <c r="H203" s="15"/>
      <c r="I203" s="15"/>
    </row>
    <row r="204" spans="1:9" x14ac:dyDescent="0.35">
      <c r="A204" s="15"/>
      <c r="B204" s="15"/>
      <c r="C204" s="15"/>
      <c r="D204" s="15"/>
      <c r="E204" s="15"/>
      <c r="F204" s="15"/>
      <c r="G204" s="15"/>
      <c r="H204" s="15"/>
      <c r="I204" s="15"/>
    </row>
    <row r="205" spans="1:9" x14ac:dyDescent="0.35">
      <c r="A205" s="15"/>
      <c r="B205" s="15"/>
      <c r="C205" s="15"/>
      <c r="D205" s="15"/>
      <c r="E205" s="15"/>
      <c r="F205" s="15"/>
      <c r="G205" s="15"/>
      <c r="H205" s="15"/>
      <c r="I205" s="15"/>
    </row>
    <row r="206" spans="1:9" x14ac:dyDescent="0.35">
      <c r="A206" s="15"/>
      <c r="B206" s="15"/>
      <c r="C206" s="15"/>
      <c r="D206" s="15"/>
      <c r="E206" s="15"/>
      <c r="F206" s="15"/>
      <c r="G206" s="15"/>
      <c r="H206" s="15"/>
      <c r="I206" s="15"/>
    </row>
    <row r="207" spans="1:9" x14ac:dyDescent="0.35">
      <c r="A207" s="15"/>
      <c r="B207" s="15"/>
      <c r="C207" s="15"/>
      <c r="D207" s="15"/>
      <c r="E207" s="15"/>
      <c r="F207" s="15"/>
      <c r="G207" s="15"/>
      <c r="H207" s="15"/>
      <c r="I207" s="15"/>
    </row>
    <row r="208" spans="1:9" x14ac:dyDescent="0.35">
      <c r="A208" s="15"/>
      <c r="B208" s="15"/>
      <c r="C208" s="15"/>
      <c r="D208" s="15"/>
      <c r="E208" s="15"/>
      <c r="F208" s="15"/>
      <c r="G208" s="15"/>
      <c r="H208" s="15"/>
      <c r="I208" s="15"/>
    </row>
    <row r="209" spans="1:9" x14ac:dyDescent="0.35">
      <c r="A209" s="15"/>
      <c r="B209" s="15"/>
      <c r="C209" s="15"/>
      <c r="D209" s="15"/>
      <c r="E209" s="15"/>
      <c r="F209" s="15"/>
      <c r="G209" s="15"/>
      <c r="H209" s="15"/>
      <c r="I209" s="15"/>
    </row>
    <row r="210" spans="1:9" x14ac:dyDescent="0.35">
      <c r="A210" s="15"/>
      <c r="B210" s="15"/>
      <c r="C210" s="15"/>
      <c r="D210" s="15"/>
      <c r="E210" s="15"/>
      <c r="F210" s="15"/>
      <c r="G210" s="15"/>
      <c r="H210" s="15"/>
      <c r="I210" s="15"/>
    </row>
    <row r="211" spans="1:9" x14ac:dyDescent="0.35">
      <c r="A211" s="15"/>
      <c r="B211" s="15"/>
      <c r="C211" s="15"/>
      <c r="D211" s="15"/>
      <c r="E211" s="15"/>
      <c r="F211" s="15"/>
      <c r="G211" s="15"/>
      <c r="H211" s="15"/>
      <c r="I211" s="15"/>
    </row>
    <row r="212" spans="1:9" x14ac:dyDescent="0.35">
      <c r="A212" s="15"/>
      <c r="B212" s="15"/>
      <c r="C212" s="15"/>
      <c r="D212" s="15"/>
      <c r="E212" s="15"/>
      <c r="F212" s="15"/>
      <c r="G212" s="15"/>
      <c r="H212" s="15"/>
      <c r="I212" s="15"/>
    </row>
    <row r="213" spans="1:9" x14ac:dyDescent="0.35">
      <c r="A213" s="15"/>
      <c r="B213" s="15"/>
      <c r="C213" s="15"/>
      <c r="D213" s="15"/>
      <c r="E213" s="15"/>
      <c r="F213" s="15"/>
      <c r="G213" s="15"/>
      <c r="H213" s="15"/>
      <c r="I213" s="15"/>
    </row>
    <row r="214" spans="1:9" x14ac:dyDescent="0.35">
      <c r="A214" s="15"/>
      <c r="B214" s="15"/>
      <c r="C214" s="15"/>
      <c r="D214" s="15"/>
      <c r="E214" s="15"/>
      <c r="F214" s="15"/>
      <c r="G214" s="15"/>
      <c r="H214" s="15"/>
      <c r="I214" s="15"/>
    </row>
    <row r="215" spans="1:9" x14ac:dyDescent="0.35">
      <c r="A215" s="15"/>
      <c r="B215" s="15"/>
      <c r="C215" s="15"/>
      <c r="D215" s="15"/>
      <c r="E215" s="15"/>
      <c r="F215" s="15"/>
      <c r="G215" s="15"/>
      <c r="H215" s="15"/>
      <c r="I215" s="15"/>
    </row>
    <row r="216" spans="1:9" x14ac:dyDescent="0.35">
      <c r="A216" s="15"/>
      <c r="B216" s="15"/>
      <c r="C216" s="15"/>
      <c r="D216" s="15"/>
      <c r="E216" s="15"/>
      <c r="F216" s="15"/>
      <c r="G216" s="15"/>
      <c r="H216" s="15"/>
      <c r="I216" s="15"/>
    </row>
    <row r="217" spans="1:9" x14ac:dyDescent="0.35">
      <c r="A217" s="15"/>
      <c r="B217" s="15"/>
      <c r="C217" s="15"/>
      <c r="D217" s="15"/>
      <c r="E217" s="15"/>
      <c r="F217" s="15"/>
      <c r="G217" s="15"/>
      <c r="H217" s="15"/>
      <c r="I217" s="15"/>
    </row>
    <row r="218" spans="1:9" x14ac:dyDescent="0.35">
      <c r="A218" s="15"/>
      <c r="B218" s="15"/>
      <c r="C218" s="15"/>
      <c r="D218" s="15"/>
      <c r="E218" s="15"/>
      <c r="F218" s="15"/>
      <c r="G218" s="15"/>
      <c r="H218" s="15"/>
      <c r="I218" s="15"/>
    </row>
    <row r="219" spans="1:9" x14ac:dyDescent="0.35">
      <c r="A219" s="15"/>
      <c r="B219" s="15"/>
      <c r="C219" s="15"/>
      <c r="D219" s="15"/>
      <c r="E219" s="15"/>
      <c r="F219" s="15"/>
      <c r="G219" s="15"/>
      <c r="H219" s="15"/>
      <c r="I219" s="15"/>
    </row>
    <row r="220" spans="1:9" x14ac:dyDescent="0.35">
      <c r="A220" s="15"/>
      <c r="B220" s="15"/>
      <c r="C220" s="15"/>
      <c r="D220" s="15"/>
      <c r="E220" s="15"/>
      <c r="F220" s="15"/>
      <c r="G220" s="15"/>
      <c r="H220" s="15"/>
      <c r="I220" s="15"/>
    </row>
    <row r="221" spans="1:9" x14ac:dyDescent="0.35">
      <c r="A221" s="15"/>
      <c r="B221" s="15"/>
      <c r="C221" s="15"/>
      <c r="D221" s="15"/>
      <c r="E221" s="15"/>
      <c r="F221" s="15"/>
      <c r="G221" s="15"/>
      <c r="H221" s="15"/>
      <c r="I221" s="15"/>
    </row>
    <row r="222" spans="1:9" x14ac:dyDescent="0.35">
      <c r="A222" s="15"/>
      <c r="B222" s="15"/>
      <c r="C222" s="15"/>
      <c r="D222" s="15"/>
      <c r="E222" s="15"/>
      <c r="F222" s="15"/>
      <c r="G222" s="15"/>
      <c r="H222" s="15"/>
      <c r="I222" s="15"/>
    </row>
    <row r="223" spans="1:9" x14ac:dyDescent="0.35">
      <c r="A223" s="15"/>
      <c r="B223" s="15"/>
      <c r="C223" s="15"/>
      <c r="D223" s="15"/>
      <c r="E223" s="15"/>
      <c r="F223" s="15"/>
      <c r="G223" s="15"/>
      <c r="H223" s="15"/>
      <c r="I223" s="15"/>
    </row>
    <row r="224" spans="1:9" x14ac:dyDescent="0.35">
      <c r="A224" s="15"/>
      <c r="B224" s="15"/>
      <c r="C224" s="15"/>
      <c r="D224" s="15"/>
      <c r="E224" s="15"/>
      <c r="F224" s="15"/>
      <c r="G224" s="15"/>
      <c r="H224" s="15"/>
      <c r="I224" s="15"/>
    </row>
    <row r="225" spans="1:9" x14ac:dyDescent="0.35">
      <c r="A225" s="15"/>
      <c r="B225" s="15"/>
      <c r="C225" s="15"/>
      <c r="D225" s="15"/>
      <c r="E225" s="15"/>
      <c r="F225" s="15"/>
      <c r="G225" s="15"/>
      <c r="H225" s="15"/>
      <c r="I225" s="15"/>
    </row>
    <row r="226" spans="1:9" x14ac:dyDescent="0.35">
      <c r="A226" s="15"/>
      <c r="B226" s="15"/>
      <c r="C226" s="15"/>
      <c r="D226" s="15"/>
      <c r="E226" s="15"/>
      <c r="F226" s="15"/>
      <c r="G226" s="15"/>
      <c r="H226" s="15"/>
      <c r="I226" s="15"/>
    </row>
    <row r="227" spans="1:9" x14ac:dyDescent="0.35">
      <c r="A227" s="15"/>
      <c r="B227" s="15"/>
      <c r="C227" s="15"/>
      <c r="D227" s="15"/>
      <c r="E227" s="15"/>
      <c r="F227" s="15"/>
      <c r="G227" s="15"/>
      <c r="H227" s="15"/>
      <c r="I227" s="15"/>
    </row>
    <row r="228" spans="1:9" x14ac:dyDescent="0.35">
      <c r="A228" s="15"/>
      <c r="B228" s="15"/>
      <c r="C228" s="15"/>
      <c r="D228" s="15"/>
      <c r="E228" s="15"/>
      <c r="F228" s="15"/>
      <c r="G228" s="15"/>
      <c r="H228" s="15"/>
      <c r="I228" s="15"/>
    </row>
    <row r="229" spans="1:9" x14ac:dyDescent="0.35">
      <c r="A229" s="15"/>
      <c r="B229" s="15"/>
      <c r="C229" s="15"/>
      <c r="D229" s="15"/>
      <c r="E229" s="15"/>
      <c r="F229" s="15"/>
      <c r="G229" s="15"/>
      <c r="H229" s="15"/>
      <c r="I229" s="15"/>
    </row>
    <row r="230" spans="1:9" x14ac:dyDescent="0.35">
      <c r="A230" s="15"/>
      <c r="B230" s="15"/>
      <c r="C230" s="15"/>
      <c r="D230" s="15"/>
      <c r="E230" s="15"/>
      <c r="F230" s="15"/>
      <c r="G230" s="15"/>
      <c r="H230" s="15"/>
      <c r="I230" s="15"/>
    </row>
    <row r="231" spans="1:9" x14ac:dyDescent="0.35">
      <c r="A231" s="15"/>
      <c r="B231" s="15"/>
      <c r="C231" s="15"/>
      <c r="D231" s="15"/>
      <c r="E231" s="15"/>
      <c r="F231" s="15"/>
      <c r="G231" s="15"/>
      <c r="H231" s="15"/>
      <c r="I231" s="15"/>
    </row>
    <row r="232" spans="1:9" x14ac:dyDescent="0.35">
      <c r="A232" s="15"/>
      <c r="B232" s="15"/>
      <c r="C232" s="15"/>
      <c r="D232" s="15"/>
      <c r="E232" s="15"/>
      <c r="F232" s="15"/>
      <c r="G232" s="15"/>
      <c r="H232" s="15"/>
      <c r="I232" s="15"/>
    </row>
    <row r="233" spans="1:9" x14ac:dyDescent="0.35">
      <c r="A233" s="15"/>
      <c r="B233" s="15"/>
      <c r="C233" s="15"/>
      <c r="D233" s="15"/>
      <c r="E233" s="15"/>
      <c r="F233" s="15"/>
      <c r="G233" s="15"/>
      <c r="H233" s="15"/>
      <c r="I233" s="15"/>
    </row>
    <row r="234" spans="1:9" x14ac:dyDescent="0.35">
      <c r="A234" s="15"/>
      <c r="B234" s="15"/>
      <c r="C234" s="15"/>
      <c r="D234" s="15"/>
      <c r="E234" s="15"/>
      <c r="F234" s="15"/>
      <c r="G234" s="15"/>
      <c r="H234" s="15"/>
      <c r="I234" s="15"/>
    </row>
    <row r="235" spans="1:9" x14ac:dyDescent="0.35">
      <c r="A235" s="15"/>
      <c r="B235" s="15"/>
      <c r="C235" s="15"/>
      <c r="D235" s="15"/>
      <c r="E235" s="15"/>
      <c r="F235" s="15"/>
      <c r="G235" s="15"/>
      <c r="H235" s="15"/>
      <c r="I235" s="15"/>
    </row>
    <row r="236" spans="1:9" x14ac:dyDescent="0.35">
      <c r="A236" s="15"/>
      <c r="B236" s="15"/>
      <c r="C236" s="15"/>
      <c r="D236" s="15"/>
      <c r="E236" s="15"/>
      <c r="F236" s="15"/>
      <c r="G236" s="15"/>
      <c r="H236" s="15"/>
      <c r="I236" s="15"/>
    </row>
    <row r="237" spans="1:9" x14ac:dyDescent="0.35">
      <c r="A237" s="15"/>
      <c r="B237" s="15"/>
      <c r="C237" s="15"/>
      <c r="D237" s="15"/>
      <c r="E237" s="15"/>
      <c r="F237" s="15"/>
      <c r="G237" s="15"/>
      <c r="H237" s="15"/>
      <c r="I237" s="15"/>
    </row>
    <row r="238" spans="1:9" x14ac:dyDescent="0.35">
      <c r="A238" s="15"/>
      <c r="B238" s="15"/>
      <c r="C238" s="15"/>
      <c r="D238" s="15"/>
      <c r="E238" s="15"/>
      <c r="F238" s="15"/>
      <c r="G238" s="15"/>
      <c r="H238" s="15"/>
      <c r="I238" s="15"/>
    </row>
    <row r="239" spans="1:9" x14ac:dyDescent="0.35">
      <c r="A239" s="15"/>
      <c r="B239" s="15"/>
      <c r="C239" s="15"/>
      <c r="D239" s="15"/>
      <c r="E239" s="15"/>
      <c r="F239" s="15"/>
      <c r="G239" s="15"/>
      <c r="H239" s="15"/>
      <c r="I239" s="15"/>
    </row>
    <row r="240" spans="1:9" x14ac:dyDescent="0.35">
      <c r="A240" s="15"/>
      <c r="B240" s="15"/>
      <c r="C240" s="15"/>
      <c r="D240" s="15"/>
      <c r="E240" s="15"/>
      <c r="F240" s="15"/>
      <c r="G240" s="15"/>
      <c r="H240" s="15"/>
      <c r="I240" s="15"/>
    </row>
    <row r="241" spans="1:9" x14ac:dyDescent="0.35">
      <c r="A241" s="15"/>
      <c r="B241" s="15"/>
      <c r="C241" s="15"/>
      <c r="D241" s="15"/>
      <c r="E241" s="15"/>
      <c r="F241" s="15"/>
      <c r="G241" s="15"/>
      <c r="H241" s="15"/>
      <c r="I241" s="15"/>
    </row>
    <row r="242" spans="1:9" x14ac:dyDescent="0.35">
      <c r="A242" s="15"/>
      <c r="B242" s="15"/>
      <c r="C242" s="15"/>
      <c r="D242" s="15"/>
      <c r="E242" s="15"/>
      <c r="F242" s="15"/>
      <c r="G242" s="15"/>
      <c r="H242" s="15"/>
      <c r="I242" s="15"/>
    </row>
    <row r="243" spans="1:9" x14ac:dyDescent="0.35">
      <c r="A243" s="15"/>
      <c r="B243" s="15"/>
      <c r="C243" s="15"/>
      <c r="D243" s="15"/>
      <c r="E243" s="15"/>
      <c r="F243" s="15"/>
      <c r="G243" s="15"/>
      <c r="H243" s="15"/>
      <c r="I243" s="15"/>
    </row>
    <row r="244" spans="1:9" x14ac:dyDescent="0.35">
      <c r="A244" s="15"/>
      <c r="B244" s="15"/>
      <c r="C244" s="15"/>
      <c r="D244" s="15"/>
      <c r="E244" s="15"/>
      <c r="F244" s="15"/>
      <c r="G244" s="15"/>
      <c r="H244" s="15"/>
      <c r="I244" s="15"/>
    </row>
    <row r="245" spans="1:9" x14ac:dyDescent="0.35">
      <c r="A245" s="15"/>
      <c r="B245" s="15"/>
      <c r="C245" s="15"/>
      <c r="D245" s="15"/>
      <c r="E245" s="15"/>
      <c r="F245" s="15"/>
      <c r="G245" s="15"/>
      <c r="H245" s="15"/>
      <c r="I245" s="15"/>
    </row>
    <row r="246" spans="1:9" x14ac:dyDescent="0.35">
      <c r="A246" s="15"/>
      <c r="B246" s="15"/>
      <c r="C246" s="15"/>
      <c r="D246" s="15"/>
      <c r="E246" s="15"/>
      <c r="F246" s="15"/>
      <c r="G246" s="15"/>
      <c r="H246" s="15"/>
      <c r="I246" s="15"/>
    </row>
    <row r="247" spans="1:9" x14ac:dyDescent="0.35">
      <c r="A247" s="15"/>
      <c r="B247" s="15"/>
      <c r="C247" s="15"/>
      <c r="D247" s="15"/>
      <c r="E247" s="15"/>
      <c r="F247" s="15"/>
      <c r="G247" s="15"/>
      <c r="H247" s="15"/>
      <c r="I247" s="15"/>
    </row>
    <row r="248" spans="1:9" x14ac:dyDescent="0.35">
      <c r="A248" s="15"/>
      <c r="B248" s="15"/>
      <c r="C248" s="15"/>
      <c r="D248" s="15"/>
      <c r="E248" s="15"/>
      <c r="F248" s="15"/>
      <c r="G248" s="15"/>
      <c r="H248" s="15"/>
      <c r="I248" s="15"/>
    </row>
    <row r="249" spans="1:9" x14ac:dyDescent="0.35">
      <c r="A249" s="15"/>
      <c r="B249" s="15"/>
      <c r="C249" s="15"/>
      <c r="D249" s="15"/>
      <c r="E249" s="15"/>
      <c r="F249" s="15"/>
      <c r="G249" s="15"/>
      <c r="H249" s="15"/>
      <c r="I249" s="15"/>
    </row>
    <row r="250" spans="1:9" x14ac:dyDescent="0.35">
      <c r="A250" s="15"/>
      <c r="B250" s="15"/>
      <c r="C250" s="15"/>
      <c r="D250" s="15"/>
      <c r="E250" s="15"/>
      <c r="F250" s="15"/>
      <c r="G250" s="15"/>
      <c r="H250" s="15"/>
      <c r="I250" s="15"/>
    </row>
    <row r="251" spans="1:9" x14ac:dyDescent="0.35">
      <c r="A251" s="15"/>
      <c r="B251" s="15"/>
      <c r="C251" s="15"/>
      <c r="D251" s="15"/>
      <c r="E251" s="15"/>
      <c r="F251" s="15"/>
      <c r="G251" s="15"/>
      <c r="H251" s="15"/>
      <c r="I251" s="15"/>
    </row>
    <row r="252" spans="1:9" x14ac:dyDescent="0.35">
      <c r="A252" s="15"/>
      <c r="B252" s="15"/>
      <c r="C252" s="15"/>
      <c r="D252" s="15"/>
      <c r="E252" s="15"/>
      <c r="F252" s="15"/>
      <c r="G252" s="15"/>
      <c r="H252" s="15"/>
      <c r="I252" s="15"/>
    </row>
    <row r="253" spans="1:9" x14ac:dyDescent="0.35">
      <c r="A253" s="15"/>
      <c r="B253" s="15"/>
      <c r="C253" s="15"/>
      <c r="D253" s="15"/>
      <c r="E253" s="15"/>
      <c r="F253" s="15"/>
      <c r="G253" s="15"/>
      <c r="H253" s="15"/>
      <c r="I253" s="15"/>
    </row>
    <row r="254" spans="1:9" x14ac:dyDescent="0.35">
      <c r="A254" s="15"/>
      <c r="B254" s="15"/>
      <c r="C254" s="15"/>
      <c r="D254" s="15"/>
      <c r="E254" s="15"/>
      <c r="F254" s="15"/>
      <c r="G254" s="15"/>
      <c r="H254" s="15"/>
      <c r="I254" s="15"/>
    </row>
    <row r="255" spans="1:9" x14ac:dyDescent="0.35">
      <c r="A255" s="15"/>
      <c r="B255" s="15"/>
      <c r="C255" s="15"/>
      <c r="D255" s="15"/>
      <c r="E255" s="15"/>
      <c r="F255" s="15"/>
      <c r="G255" s="15"/>
      <c r="H255" s="15"/>
      <c r="I255" s="15"/>
    </row>
    <row r="256" spans="1:9" x14ac:dyDescent="0.35">
      <c r="A256" s="15"/>
      <c r="B256" s="15"/>
      <c r="C256" s="15"/>
      <c r="D256" s="15"/>
      <c r="E256" s="15"/>
      <c r="F256" s="15"/>
      <c r="G256" s="15"/>
      <c r="H256" s="15"/>
      <c r="I256" s="15"/>
    </row>
    <row r="257" spans="1:9" x14ac:dyDescent="0.35">
      <c r="A257" s="15"/>
      <c r="B257" s="15"/>
      <c r="C257" s="15"/>
      <c r="D257" s="15"/>
      <c r="E257" s="15"/>
      <c r="F257" s="15"/>
      <c r="G257" s="15"/>
      <c r="H257" s="15"/>
      <c r="I257" s="15"/>
    </row>
    <row r="258" spans="1:9" x14ac:dyDescent="0.35">
      <c r="A258" s="15"/>
      <c r="B258" s="15"/>
      <c r="C258" s="15"/>
      <c r="D258" s="15"/>
      <c r="E258" s="15"/>
      <c r="F258" s="15"/>
      <c r="G258" s="15"/>
      <c r="H258" s="15"/>
      <c r="I258" s="15"/>
    </row>
    <row r="259" spans="1:9" x14ac:dyDescent="0.35">
      <c r="A259" s="15"/>
      <c r="B259" s="15"/>
      <c r="C259" s="15"/>
      <c r="D259" s="15"/>
      <c r="E259" s="15"/>
      <c r="F259" s="15"/>
      <c r="G259" s="15"/>
      <c r="H259" s="15"/>
      <c r="I259" s="15"/>
    </row>
    <row r="260" spans="1:9" x14ac:dyDescent="0.35">
      <c r="A260" s="15"/>
      <c r="B260" s="15"/>
      <c r="C260" s="15"/>
      <c r="D260" s="15"/>
      <c r="E260" s="15"/>
      <c r="F260" s="15"/>
      <c r="G260" s="15"/>
      <c r="H260" s="15"/>
      <c r="I260" s="15"/>
    </row>
    <row r="261" spans="1:9" x14ac:dyDescent="0.35">
      <c r="A261" s="15"/>
      <c r="B261" s="15"/>
      <c r="C261" s="15"/>
      <c r="D261" s="15"/>
      <c r="E261" s="15"/>
      <c r="F261" s="15"/>
      <c r="G261" s="15"/>
      <c r="H261" s="15"/>
      <c r="I261" s="15"/>
    </row>
    <row r="262" spans="1:9" x14ac:dyDescent="0.35">
      <c r="A262" s="15"/>
      <c r="B262" s="15"/>
      <c r="C262" s="15"/>
      <c r="D262" s="15"/>
      <c r="E262" s="15"/>
      <c r="F262" s="15"/>
      <c r="G262" s="15"/>
      <c r="H262" s="15"/>
      <c r="I262" s="15"/>
    </row>
    <row r="263" spans="1:9" x14ac:dyDescent="0.35">
      <c r="A263" s="15"/>
      <c r="B263" s="15"/>
      <c r="C263" s="15"/>
      <c r="D263" s="15"/>
      <c r="E263" s="15"/>
      <c r="F263" s="15"/>
      <c r="G263" s="15"/>
      <c r="H263" s="15"/>
      <c r="I263" s="15"/>
    </row>
    <row r="264" spans="1:9" x14ac:dyDescent="0.35">
      <c r="A264" s="15"/>
      <c r="B264" s="15"/>
      <c r="C264" s="15"/>
      <c r="D264" s="15"/>
      <c r="E264" s="15"/>
      <c r="F264" s="15"/>
      <c r="G264" s="15"/>
      <c r="H264" s="15"/>
      <c r="I264" s="15"/>
    </row>
    <row r="265" spans="1:9" x14ac:dyDescent="0.35">
      <c r="A265" s="15"/>
      <c r="B265" s="15"/>
      <c r="C265" s="15"/>
      <c r="D265" s="15"/>
      <c r="E265" s="15"/>
      <c r="F265" s="15"/>
      <c r="G265" s="15"/>
      <c r="H265" s="15"/>
      <c r="I265" s="15"/>
    </row>
    <row r="266" spans="1:9" x14ac:dyDescent="0.35">
      <c r="A266" s="15"/>
      <c r="B266" s="15"/>
      <c r="C266" s="15"/>
      <c r="D266" s="15"/>
      <c r="E266" s="15"/>
      <c r="F266" s="15"/>
      <c r="G266" s="15"/>
      <c r="H266" s="15"/>
      <c r="I266" s="15"/>
    </row>
    <row r="267" spans="1:9" x14ac:dyDescent="0.35">
      <c r="A267" s="15"/>
      <c r="B267" s="15"/>
      <c r="C267" s="15"/>
      <c r="D267" s="15"/>
      <c r="E267" s="15"/>
      <c r="F267" s="15"/>
      <c r="G267" s="15"/>
      <c r="H267" s="15"/>
      <c r="I267" s="15"/>
    </row>
    <row r="268" spans="1:9" x14ac:dyDescent="0.35">
      <c r="A268" s="15"/>
      <c r="B268" s="15"/>
      <c r="C268" s="15"/>
      <c r="D268" s="15"/>
      <c r="E268" s="15"/>
      <c r="F268" s="15"/>
      <c r="G268" s="15"/>
      <c r="H268" s="15"/>
      <c r="I268" s="15"/>
    </row>
    <row r="269" spans="1:9" x14ac:dyDescent="0.35">
      <c r="A269" s="15"/>
      <c r="B269" s="15"/>
      <c r="C269" s="15"/>
      <c r="D269" s="15"/>
      <c r="E269" s="15"/>
      <c r="F269" s="15"/>
      <c r="G269" s="15"/>
      <c r="H269" s="15"/>
      <c r="I269" s="15"/>
    </row>
    <row r="270" spans="1:9" x14ac:dyDescent="0.35">
      <c r="A270" s="15"/>
      <c r="B270" s="15"/>
      <c r="C270" s="15"/>
      <c r="D270" s="15"/>
      <c r="E270" s="15"/>
      <c r="F270" s="15"/>
      <c r="G270" s="15"/>
      <c r="H270" s="15"/>
      <c r="I270" s="15"/>
    </row>
    <row r="271" spans="1:9" x14ac:dyDescent="0.35">
      <c r="A271" s="15"/>
      <c r="B271" s="15"/>
      <c r="C271" s="15"/>
      <c r="D271" s="15"/>
      <c r="E271" s="15"/>
      <c r="F271" s="15"/>
      <c r="G271" s="15"/>
      <c r="H271" s="15"/>
      <c r="I271" s="15"/>
    </row>
    <row r="272" spans="1:9" x14ac:dyDescent="0.35">
      <c r="A272" s="15"/>
      <c r="B272" s="15"/>
      <c r="C272" s="15"/>
      <c r="D272" s="15"/>
      <c r="E272" s="15"/>
      <c r="F272" s="15"/>
      <c r="G272" s="15"/>
      <c r="H272" s="15"/>
      <c r="I272" s="15"/>
    </row>
    <row r="273" spans="1:9" x14ac:dyDescent="0.35">
      <c r="A273" s="15"/>
      <c r="B273" s="15"/>
      <c r="C273" s="15"/>
      <c r="D273" s="15"/>
      <c r="E273" s="15"/>
      <c r="F273" s="15"/>
      <c r="G273" s="15"/>
      <c r="H273" s="15"/>
      <c r="I273" s="15"/>
    </row>
    <row r="274" spans="1:9" x14ac:dyDescent="0.35">
      <c r="A274" s="15"/>
      <c r="B274" s="15"/>
      <c r="C274" s="15"/>
      <c r="D274" s="15"/>
      <c r="E274" s="15"/>
      <c r="F274" s="15"/>
      <c r="G274" s="15"/>
      <c r="H274" s="15"/>
      <c r="I274" s="15"/>
    </row>
    <row r="275" spans="1:9" x14ac:dyDescent="0.35">
      <c r="A275" s="15"/>
      <c r="B275" s="15"/>
      <c r="C275" s="15"/>
      <c r="D275" s="15"/>
      <c r="E275" s="15"/>
      <c r="F275" s="15"/>
      <c r="G275" s="15"/>
      <c r="H275" s="15"/>
      <c r="I275" s="15"/>
    </row>
    <row r="276" spans="1:9" x14ac:dyDescent="0.35">
      <c r="A276" s="15"/>
      <c r="B276" s="15"/>
      <c r="C276" s="15"/>
      <c r="D276" s="15"/>
      <c r="E276" s="15"/>
      <c r="F276" s="15"/>
      <c r="G276" s="15"/>
      <c r="H276" s="15"/>
      <c r="I276" s="15"/>
    </row>
    <row r="277" spans="1:9" x14ac:dyDescent="0.35">
      <c r="A277" s="15"/>
      <c r="B277" s="15"/>
      <c r="C277" s="15"/>
      <c r="D277" s="15"/>
      <c r="E277" s="15"/>
      <c r="F277" s="15"/>
      <c r="G277" s="15"/>
      <c r="H277" s="15"/>
      <c r="I277" s="15"/>
    </row>
    <row r="278" spans="1:9" x14ac:dyDescent="0.35">
      <c r="A278" s="15"/>
      <c r="B278" s="15"/>
      <c r="C278" s="15"/>
      <c r="D278" s="15"/>
      <c r="E278" s="15"/>
      <c r="F278" s="15"/>
      <c r="G278" s="15"/>
      <c r="H278" s="15"/>
      <c r="I278" s="15"/>
    </row>
    <row r="279" spans="1:9" x14ac:dyDescent="0.35">
      <c r="A279" s="15"/>
      <c r="B279" s="15"/>
      <c r="C279" s="15"/>
      <c r="D279" s="15"/>
      <c r="E279" s="15"/>
      <c r="F279" s="15"/>
      <c r="G279" s="15"/>
      <c r="H279" s="15"/>
      <c r="I279" s="15"/>
    </row>
    <row r="280" spans="1:9" x14ac:dyDescent="0.35">
      <c r="A280" s="15"/>
      <c r="B280" s="15"/>
      <c r="C280" s="15"/>
      <c r="D280" s="15"/>
      <c r="E280" s="15"/>
      <c r="F280" s="15"/>
      <c r="G280" s="15"/>
      <c r="H280" s="15"/>
      <c r="I280" s="15"/>
    </row>
    <row r="281" spans="1:9" x14ac:dyDescent="0.35">
      <c r="A281" s="15"/>
      <c r="B281" s="15"/>
      <c r="C281" s="15"/>
      <c r="D281" s="15"/>
      <c r="E281" s="15"/>
      <c r="F281" s="15"/>
      <c r="G281" s="15"/>
      <c r="H281" s="15"/>
      <c r="I281" s="15"/>
    </row>
    <row r="282" spans="1:9" x14ac:dyDescent="0.35">
      <c r="A282" s="15"/>
      <c r="B282" s="15"/>
      <c r="C282" s="15"/>
      <c r="D282" s="15"/>
      <c r="E282" s="15"/>
      <c r="F282" s="15"/>
      <c r="G282" s="15"/>
      <c r="H282" s="15"/>
      <c r="I282" s="15"/>
    </row>
    <row r="283" spans="1:9" x14ac:dyDescent="0.35">
      <c r="A283" s="15"/>
      <c r="B283" s="15"/>
      <c r="C283" s="15"/>
      <c r="D283" s="15"/>
      <c r="E283" s="15"/>
      <c r="F283" s="15"/>
      <c r="G283" s="15"/>
      <c r="H283" s="15"/>
      <c r="I283" s="15"/>
    </row>
    <row r="284" spans="1:9" x14ac:dyDescent="0.35">
      <c r="A284" s="15"/>
      <c r="B284" s="15"/>
      <c r="C284" s="15"/>
      <c r="D284" s="15"/>
      <c r="E284" s="15"/>
      <c r="F284" s="15"/>
      <c r="G284" s="15"/>
      <c r="H284" s="15"/>
      <c r="I284" s="15"/>
    </row>
    <row r="285" spans="1:9" x14ac:dyDescent="0.35">
      <c r="A285" s="15"/>
      <c r="B285" s="15"/>
      <c r="C285" s="15"/>
      <c r="D285" s="15"/>
      <c r="E285" s="15"/>
      <c r="F285" s="15"/>
      <c r="G285" s="15"/>
      <c r="H285" s="15"/>
      <c r="I285" s="15"/>
    </row>
    <row r="286" spans="1:9" x14ac:dyDescent="0.35">
      <c r="A286" s="15"/>
      <c r="B286" s="15"/>
      <c r="C286" s="15"/>
      <c r="D286" s="15"/>
      <c r="E286" s="15"/>
      <c r="F286" s="15"/>
      <c r="G286" s="15"/>
      <c r="H286" s="15"/>
      <c r="I286" s="15"/>
    </row>
    <row r="287" spans="1:9" x14ac:dyDescent="0.35">
      <c r="A287" s="15"/>
      <c r="B287" s="15"/>
      <c r="C287" s="15"/>
      <c r="D287" s="15"/>
      <c r="E287" s="15"/>
      <c r="F287" s="15"/>
      <c r="G287" s="15"/>
      <c r="H287" s="15"/>
      <c r="I287" s="15"/>
    </row>
    <row r="288" spans="1:9" x14ac:dyDescent="0.35">
      <c r="A288" s="15"/>
      <c r="B288" s="15"/>
      <c r="C288" s="15"/>
      <c r="D288" s="15"/>
      <c r="E288" s="15"/>
      <c r="F288" s="15"/>
      <c r="G288" s="15"/>
      <c r="H288" s="15"/>
      <c r="I288" s="15"/>
    </row>
    <row r="289" spans="1:9" x14ac:dyDescent="0.35">
      <c r="A289" s="15"/>
      <c r="B289" s="15"/>
      <c r="C289" s="15"/>
      <c r="D289" s="15"/>
      <c r="E289" s="15"/>
      <c r="F289" s="15"/>
      <c r="G289" s="15"/>
      <c r="H289" s="15"/>
      <c r="I289" s="15"/>
    </row>
    <row r="290" spans="1:9" x14ac:dyDescent="0.35">
      <c r="A290" s="15"/>
      <c r="B290" s="15"/>
      <c r="C290" s="15"/>
      <c r="D290" s="15"/>
      <c r="E290" s="15"/>
      <c r="F290" s="15"/>
      <c r="G290" s="15"/>
      <c r="H290" s="15"/>
      <c r="I290" s="15"/>
    </row>
    <row r="291" spans="1:9" x14ac:dyDescent="0.35">
      <c r="A291" s="15"/>
      <c r="B291" s="15"/>
      <c r="C291" s="15"/>
      <c r="D291" s="15"/>
      <c r="E291" s="15"/>
      <c r="F291" s="15"/>
      <c r="G291" s="15"/>
      <c r="H291" s="15"/>
      <c r="I291" s="15"/>
    </row>
    <row r="292" spans="1:9" x14ac:dyDescent="0.35">
      <c r="A292" s="15"/>
      <c r="B292" s="15"/>
      <c r="C292" s="15"/>
      <c r="D292" s="15"/>
      <c r="E292" s="15"/>
      <c r="F292" s="15"/>
      <c r="G292" s="15"/>
      <c r="H292" s="15"/>
      <c r="I292" s="15"/>
    </row>
    <row r="293" spans="1:9" x14ac:dyDescent="0.35">
      <c r="A293" s="15"/>
      <c r="B293" s="15"/>
      <c r="C293" s="15"/>
      <c r="D293" s="15"/>
      <c r="E293" s="15"/>
      <c r="F293" s="15"/>
      <c r="G293" s="15"/>
      <c r="H293" s="15"/>
      <c r="I293" s="15"/>
    </row>
    <row r="294" spans="1:9" x14ac:dyDescent="0.35">
      <c r="A294" s="15"/>
      <c r="B294" s="15"/>
      <c r="C294" s="15"/>
      <c r="D294" s="15"/>
      <c r="E294" s="15"/>
      <c r="F294" s="15"/>
      <c r="G294" s="15"/>
      <c r="H294" s="15"/>
      <c r="I294" s="15"/>
    </row>
    <row r="295" spans="1:9" x14ac:dyDescent="0.35">
      <c r="A295" s="15"/>
      <c r="B295" s="15"/>
      <c r="C295" s="15"/>
      <c r="D295" s="15"/>
      <c r="E295" s="15"/>
      <c r="F295" s="15"/>
      <c r="G295" s="15"/>
      <c r="H295" s="15"/>
      <c r="I295" s="15"/>
    </row>
    <row r="296" spans="1:9" x14ac:dyDescent="0.35">
      <c r="A296" s="15"/>
      <c r="B296" s="15"/>
      <c r="C296" s="15"/>
      <c r="D296" s="15"/>
      <c r="E296" s="15"/>
      <c r="F296" s="15"/>
      <c r="G296" s="15"/>
      <c r="H296" s="15"/>
      <c r="I296" s="15"/>
    </row>
    <row r="297" spans="1:9" x14ac:dyDescent="0.35">
      <c r="A297" s="15"/>
      <c r="B297" s="15"/>
      <c r="C297" s="15"/>
      <c r="D297" s="15"/>
      <c r="E297" s="15"/>
      <c r="F297" s="15"/>
      <c r="G297" s="15"/>
      <c r="H297" s="15"/>
      <c r="I297" s="15"/>
    </row>
    <row r="298" spans="1:9" x14ac:dyDescent="0.35">
      <c r="A298" s="15"/>
      <c r="B298" s="15"/>
      <c r="C298" s="15"/>
      <c r="D298" s="15"/>
      <c r="E298" s="15"/>
      <c r="F298" s="15"/>
      <c r="G298" s="15"/>
      <c r="H298" s="15"/>
      <c r="I298" s="15"/>
    </row>
    <row r="299" spans="1:9" x14ac:dyDescent="0.35">
      <c r="A299" s="15"/>
      <c r="B299" s="15"/>
      <c r="C299" s="15"/>
      <c r="D299" s="15"/>
      <c r="E299" s="15"/>
      <c r="F299" s="15"/>
      <c r="G299" s="15"/>
      <c r="H299" s="15"/>
      <c r="I299" s="15"/>
    </row>
    <row r="300" spans="1:9" x14ac:dyDescent="0.35">
      <c r="A300" s="15"/>
      <c r="B300" s="15"/>
      <c r="C300" s="15"/>
      <c r="D300" s="15"/>
      <c r="E300" s="15"/>
      <c r="F300" s="15"/>
      <c r="G300" s="15"/>
      <c r="H300" s="15"/>
      <c r="I300" s="15"/>
    </row>
    <row r="301" spans="1:9" x14ac:dyDescent="0.35">
      <c r="A301" s="15"/>
      <c r="B301" s="15"/>
      <c r="C301" s="15"/>
      <c r="D301" s="15"/>
      <c r="E301" s="15"/>
      <c r="F301" s="15"/>
      <c r="G301" s="15"/>
      <c r="H301" s="15"/>
      <c r="I301" s="15"/>
    </row>
    <row r="302" spans="1:9" x14ac:dyDescent="0.35">
      <c r="A302" s="15"/>
      <c r="B302" s="15"/>
      <c r="C302" s="15"/>
      <c r="D302" s="15"/>
      <c r="E302" s="15"/>
      <c r="F302" s="15"/>
      <c r="G302" s="15"/>
      <c r="H302" s="15"/>
      <c r="I302" s="15"/>
    </row>
    <row r="303" spans="1:9" x14ac:dyDescent="0.35">
      <c r="A303" s="15"/>
      <c r="B303" s="15"/>
      <c r="C303" s="15"/>
      <c r="D303" s="15"/>
      <c r="E303" s="15"/>
      <c r="F303" s="15"/>
      <c r="G303" s="15"/>
      <c r="H303" s="15"/>
      <c r="I303" s="15"/>
    </row>
    <row r="304" spans="1:9" x14ac:dyDescent="0.35">
      <c r="A304" s="15"/>
      <c r="B304" s="15"/>
      <c r="C304" s="15"/>
      <c r="D304" s="15"/>
      <c r="E304" s="15"/>
      <c r="F304" s="15"/>
      <c r="G304" s="15"/>
      <c r="H304" s="15"/>
      <c r="I304" s="15"/>
    </row>
    <row r="305" spans="1:9" x14ac:dyDescent="0.35">
      <c r="A305" s="15"/>
      <c r="B305" s="15"/>
      <c r="C305" s="15"/>
      <c r="D305" s="15"/>
      <c r="E305" s="15"/>
      <c r="F305" s="15"/>
      <c r="G305" s="15"/>
      <c r="H305" s="15"/>
      <c r="I305" s="15"/>
    </row>
    <row r="306" spans="1:9" x14ac:dyDescent="0.35">
      <c r="A306" s="15"/>
      <c r="B306" s="15"/>
      <c r="C306" s="15"/>
      <c r="D306" s="15"/>
      <c r="E306" s="15"/>
      <c r="F306" s="15"/>
      <c r="G306" s="15"/>
      <c r="H306" s="15"/>
      <c r="I306" s="15"/>
    </row>
    <row r="307" spans="1:9" x14ac:dyDescent="0.35">
      <c r="A307" s="15"/>
      <c r="B307" s="15"/>
      <c r="C307" s="15"/>
      <c r="D307" s="15"/>
      <c r="E307" s="15"/>
      <c r="F307" s="15"/>
      <c r="G307" s="15"/>
      <c r="H307" s="15"/>
      <c r="I307" s="15"/>
    </row>
    <row r="308" spans="1:9" x14ac:dyDescent="0.35">
      <c r="A308" s="15"/>
      <c r="B308" s="15"/>
      <c r="C308" s="15"/>
      <c r="D308" s="15"/>
      <c r="E308" s="15"/>
      <c r="F308" s="15"/>
      <c r="G308" s="15"/>
      <c r="H308" s="15"/>
      <c r="I308" s="15"/>
    </row>
    <row r="309" spans="1:9" x14ac:dyDescent="0.35">
      <c r="A309" s="15"/>
      <c r="B309" s="15"/>
      <c r="C309" s="15"/>
      <c r="D309" s="15"/>
      <c r="E309" s="15"/>
      <c r="F309" s="15"/>
      <c r="G309" s="15"/>
      <c r="H309" s="15"/>
      <c r="I309" s="15"/>
    </row>
    <row r="310" spans="1:9" x14ac:dyDescent="0.35">
      <c r="A310" s="15"/>
      <c r="B310" s="15"/>
      <c r="C310" s="15"/>
      <c r="D310" s="15"/>
      <c r="E310" s="15"/>
      <c r="F310" s="15"/>
      <c r="G310" s="15"/>
      <c r="H310" s="15"/>
      <c r="I310" s="15"/>
    </row>
    <row r="311" spans="1:9" x14ac:dyDescent="0.35">
      <c r="A311" s="15"/>
      <c r="B311" s="15"/>
      <c r="C311" s="15"/>
      <c r="D311" s="15"/>
      <c r="E311" s="15"/>
      <c r="F311" s="15"/>
      <c r="G311" s="15"/>
      <c r="H311" s="15"/>
      <c r="I311" s="15"/>
    </row>
    <row r="312" spans="1:9" x14ac:dyDescent="0.35">
      <c r="A312" s="15"/>
      <c r="B312" s="15"/>
      <c r="C312" s="15"/>
      <c r="D312" s="15"/>
      <c r="E312" s="15"/>
      <c r="F312" s="15"/>
      <c r="G312" s="15"/>
      <c r="H312" s="15"/>
      <c r="I312" s="15"/>
    </row>
    <row r="313" spans="1:9" x14ac:dyDescent="0.35">
      <c r="A313" s="15"/>
      <c r="B313" s="15"/>
      <c r="C313" s="15"/>
      <c r="D313" s="15"/>
      <c r="E313" s="15"/>
      <c r="F313" s="15"/>
      <c r="G313" s="15"/>
      <c r="H313" s="15"/>
      <c r="I313" s="15"/>
    </row>
    <row r="314" spans="1:9" x14ac:dyDescent="0.35">
      <c r="A314" s="15"/>
      <c r="B314" s="15"/>
      <c r="C314" s="15"/>
      <c r="D314" s="15"/>
      <c r="E314" s="15"/>
      <c r="F314" s="15"/>
      <c r="G314" s="15"/>
      <c r="H314" s="15"/>
      <c r="I314" s="15"/>
    </row>
    <row r="315" spans="1:9" x14ac:dyDescent="0.35">
      <c r="A315" s="15"/>
      <c r="B315" s="15"/>
      <c r="C315" s="15"/>
      <c r="D315" s="15"/>
      <c r="E315" s="15"/>
      <c r="F315" s="15"/>
      <c r="G315" s="15"/>
      <c r="H315" s="15"/>
      <c r="I315" s="15"/>
    </row>
    <row r="316" spans="1:9" x14ac:dyDescent="0.35">
      <c r="A316" s="15"/>
      <c r="B316" s="15"/>
      <c r="C316" s="15"/>
      <c r="D316" s="15"/>
      <c r="E316" s="15"/>
      <c r="F316" s="15"/>
      <c r="G316" s="15"/>
      <c r="H316" s="15"/>
      <c r="I316" s="15"/>
    </row>
    <row r="317" spans="1:9" x14ac:dyDescent="0.35">
      <c r="A317" s="15"/>
      <c r="B317" s="15"/>
      <c r="C317" s="15"/>
      <c r="D317" s="15"/>
      <c r="E317" s="15"/>
      <c r="F317" s="15"/>
      <c r="G317" s="15"/>
      <c r="H317" s="15"/>
      <c r="I317" s="15"/>
    </row>
    <row r="318" spans="1:9" x14ac:dyDescent="0.35">
      <c r="A318" s="15"/>
      <c r="B318" s="15"/>
      <c r="C318" s="15"/>
      <c r="D318" s="15"/>
      <c r="E318" s="15"/>
      <c r="F318" s="15"/>
      <c r="G318" s="15"/>
      <c r="H318" s="15"/>
      <c r="I318" s="15"/>
    </row>
    <row r="319" spans="1:9" x14ac:dyDescent="0.35">
      <c r="A319" s="15"/>
      <c r="B319" s="15"/>
      <c r="C319" s="15"/>
      <c r="D319" s="15"/>
      <c r="E319" s="15"/>
      <c r="F319" s="15"/>
      <c r="G319" s="15"/>
      <c r="H319" s="15"/>
      <c r="I319" s="15"/>
    </row>
    <row r="320" spans="1:9" x14ac:dyDescent="0.35">
      <c r="A320" s="15"/>
      <c r="B320" s="15"/>
      <c r="C320" s="15"/>
      <c r="D320" s="15"/>
      <c r="E320" s="15"/>
      <c r="F320" s="15"/>
      <c r="G320" s="15"/>
      <c r="H320" s="15"/>
      <c r="I320" s="15"/>
    </row>
    <row r="321" spans="1:9" x14ac:dyDescent="0.35">
      <c r="A321" s="15"/>
      <c r="B321" s="15"/>
      <c r="C321" s="15"/>
      <c r="D321" s="15"/>
      <c r="E321" s="15"/>
      <c r="F321" s="15"/>
      <c r="G321" s="15"/>
      <c r="H321" s="15"/>
      <c r="I321" s="15"/>
    </row>
    <row r="322" spans="1:9" x14ac:dyDescent="0.35">
      <c r="A322" s="15"/>
      <c r="B322" s="15"/>
      <c r="C322" s="15"/>
      <c r="D322" s="15"/>
      <c r="E322" s="15"/>
      <c r="F322" s="15"/>
      <c r="G322" s="15"/>
      <c r="H322" s="15"/>
      <c r="I322" s="15"/>
    </row>
    <row r="323" spans="1:9" x14ac:dyDescent="0.35">
      <c r="A323" s="15"/>
      <c r="B323" s="15"/>
      <c r="C323" s="15"/>
      <c r="D323" s="15"/>
      <c r="E323" s="15"/>
      <c r="F323" s="15"/>
      <c r="G323" s="15"/>
      <c r="H323" s="15"/>
      <c r="I323" s="15"/>
    </row>
    <row r="324" spans="1:9" x14ac:dyDescent="0.35">
      <c r="A324" s="15"/>
      <c r="B324" s="15"/>
      <c r="C324" s="15"/>
      <c r="D324" s="15"/>
      <c r="E324" s="15"/>
      <c r="F324" s="15"/>
      <c r="G324" s="15"/>
      <c r="H324" s="15"/>
      <c r="I324" s="15"/>
    </row>
    <row r="325" spans="1:9" x14ac:dyDescent="0.35">
      <c r="A325" s="15"/>
      <c r="B325" s="15"/>
      <c r="C325" s="15"/>
      <c r="D325" s="15"/>
      <c r="E325" s="15"/>
      <c r="F325" s="15"/>
      <c r="G325" s="15"/>
      <c r="H325" s="15"/>
      <c r="I325" s="15"/>
    </row>
    <row r="326" spans="1:9" x14ac:dyDescent="0.35">
      <c r="A326" s="15"/>
      <c r="B326" s="15"/>
      <c r="C326" s="15"/>
      <c r="D326" s="15"/>
      <c r="E326" s="15"/>
      <c r="F326" s="15"/>
      <c r="G326" s="15"/>
      <c r="H326" s="15"/>
      <c r="I326" s="15"/>
    </row>
    <row r="327" spans="1:9" x14ac:dyDescent="0.35">
      <c r="A327" s="15"/>
      <c r="B327" s="15"/>
      <c r="C327" s="15"/>
      <c r="D327" s="15"/>
      <c r="E327" s="15"/>
      <c r="F327" s="15"/>
      <c r="G327" s="15"/>
      <c r="H327" s="15"/>
      <c r="I327" s="15"/>
    </row>
    <row r="328" spans="1:9" x14ac:dyDescent="0.35">
      <c r="A328" s="15"/>
      <c r="B328" s="15"/>
      <c r="C328" s="15"/>
      <c r="D328" s="15"/>
      <c r="E328" s="15"/>
      <c r="F328" s="15"/>
      <c r="G328" s="15"/>
      <c r="H328" s="15"/>
      <c r="I328" s="15"/>
    </row>
    <row r="329" spans="1:9" x14ac:dyDescent="0.35">
      <c r="A329" s="15"/>
      <c r="B329" s="15"/>
      <c r="C329" s="15"/>
      <c r="D329" s="15"/>
      <c r="E329" s="15"/>
      <c r="F329" s="15"/>
      <c r="G329" s="15"/>
      <c r="H329" s="15"/>
      <c r="I329" s="15"/>
    </row>
    <row r="330" spans="1:9" x14ac:dyDescent="0.35">
      <c r="A330" s="15"/>
      <c r="B330" s="15"/>
      <c r="C330" s="15"/>
      <c r="D330" s="15"/>
      <c r="E330" s="15"/>
      <c r="F330" s="15"/>
      <c r="G330" s="15"/>
      <c r="H330" s="15"/>
      <c r="I330" s="15"/>
    </row>
    <row r="331" spans="1:9" x14ac:dyDescent="0.35">
      <c r="A331" s="15"/>
      <c r="B331" s="15"/>
      <c r="C331" s="15"/>
      <c r="D331" s="15"/>
      <c r="E331" s="15"/>
      <c r="F331" s="15"/>
      <c r="G331" s="15"/>
      <c r="H331" s="15"/>
      <c r="I331" s="15"/>
    </row>
    <row r="332" spans="1:9" x14ac:dyDescent="0.35">
      <c r="A332" s="15"/>
      <c r="B332" s="15"/>
      <c r="C332" s="15"/>
      <c r="D332" s="15"/>
      <c r="E332" s="15"/>
      <c r="F332" s="15"/>
      <c r="G332" s="15"/>
      <c r="H332" s="15"/>
      <c r="I332" s="15"/>
    </row>
    <row r="333" spans="1:9" x14ac:dyDescent="0.35">
      <c r="A333" s="15"/>
      <c r="B333" s="15"/>
      <c r="C333" s="15"/>
      <c r="D333" s="15"/>
      <c r="E333" s="15"/>
      <c r="F333" s="15"/>
      <c r="G333" s="15"/>
      <c r="H333" s="15"/>
      <c r="I333" s="15"/>
    </row>
    <row r="334" spans="1:9" x14ac:dyDescent="0.35">
      <c r="A334" s="15"/>
      <c r="B334" s="15"/>
      <c r="C334" s="15"/>
      <c r="D334" s="15"/>
      <c r="E334" s="15"/>
      <c r="F334" s="15"/>
      <c r="G334" s="15"/>
      <c r="H334" s="15"/>
      <c r="I334" s="15"/>
    </row>
    <row r="335" spans="1:9" x14ac:dyDescent="0.35">
      <c r="A335" s="15"/>
      <c r="B335" s="15"/>
      <c r="C335" s="15"/>
      <c r="D335" s="15"/>
      <c r="E335" s="15"/>
      <c r="F335" s="15"/>
      <c r="G335" s="15"/>
      <c r="H335" s="15"/>
      <c r="I335" s="15"/>
    </row>
    <row r="336" spans="1:9" x14ac:dyDescent="0.35">
      <c r="A336" s="15"/>
      <c r="B336" s="15"/>
      <c r="C336" s="15"/>
      <c r="D336" s="15"/>
      <c r="E336" s="15"/>
      <c r="F336" s="15"/>
      <c r="G336" s="15"/>
      <c r="H336" s="15"/>
      <c r="I336" s="15"/>
    </row>
    <row r="337" spans="1:9" x14ac:dyDescent="0.35">
      <c r="A337" s="15"/>
      <c r="B337" s="15"/>
      <c r="C337" s="15"/>
      <c r="D337" s="15"/>
      <c r="E337" s="15"/>
      <c r="F337" s="15"/>
      <c r="G337" s="15"/>
      <c r="H337" s="15"/>
      <c r="I337" s="15"/>
    </row>
    <row r="338" spans="1:9" x14ac:dyDescent="0.35">
      <c r="A338" s="15"/>
      <c r="B338" s="15"/>
      <c r="C338" s="15"/>
      <c r="D338" s="15"/>
      <c r="E338" s="15"/>
      <c r="F338" s="15"/>
      <c r="G338" s="15"/>
      <c r="H338" s="15"/>
      <c r="I338" s="15"/>
    </row>
    <row r="339" spans="1:9" x14ac:dyDescent="0.35">
      <c r="A339" s="15"/>
      <c r="B339" s="15"/>
      <c r="C339" s="15"/>
      <c r="D339" s="15"/>
      <c r="E339" s="15"/>
      <c r="F339" s="15"/>
      <c r="G339" s="15"/>
      <c r="H339" s="15"/>
      <c r="I339" s="15"/>
    </row>
    <row r="340" spans="1:9" x14ac:dyDescent="0.35">
      <c r="A340" s="15"/>
      <c r="B340" s="15"/>
      <c r="C340" s="15"/>
      <c r="D340" s="15"/>
      <c r="E340" s="15"/>
      <c r="F340" s="15"/>
      <c r="G340" s="15"/>
      <c r="H340" s="15"/>
      <c r="I340" s="15"/>
    </row>
    <row r="341" spans="1:9" x14ac:dyDescent="0.35">
      <c r="A341" s="15"/>
      <c r="B341" s="15"/>
      <c r="C341" s="15"/>
      <c r="D341" s="15"/>
      <c r="E341" s="15"/>
      <c r="F341" s="15"/>
      <c r="G341" s="15"/>
      <c r="H341" s="15"/>
      <c r="I341" s="15"/>
    </row>
    <row r="342" spans="1:9" x14ac:dyDescent="0.35">
      <c r="A342" s="15"/>
      <c r="B342" s="15"/>
      <c r="C342" s="15"/>
      <c r="D342" s="15"/>
      <c r="E342" s="15"/>
      <c r="F342" s="15"/>
      <c r="G342" s="15"/>
      <c r="H342" s="15"/>
      <c r="I342" s="15"/>
    </row>
    <row r="343" spans="1:9" x14ac:dyDescent="0.35">
      <c r="A343" s="15"/>
      <c r="B343" s="15"/>
      <c r="C343" s="15"/>
      <c r="D343" s="15"/>
      <c r="E343" s="15"/>
      <c r="F343" s="15"/>
      <c r="G343" s="15"/>
      <c r="H343" s="15"/>
      <c r="I343" s="15"/>
    </row>
    <row r="344" spans="1:9" x14ac:dyDescent="0.35">
      <c r="A344" s="15"/>
      <c r="B344" s="15"/>
      <c r="C344" s="15"/>
      <c r="D344" s="15"/>
      <c r="E344" s="15"/>
      <c r="F344" s="15"/>
      <c r="G344" s="15"/>
      <c r="H344" s="15"/>
      <c r="I344" s="15"/>
    </row>
    <row r="345" spans="1:9" x14ac:dyDescent="0.35">
      <c r="A345" s="15"/>
      <c r="B345" s="15"/>
      <c r="C345" s="15"/>
      <c r="D345" s="15"/>
      <c r="E345" s="15"/>
      <c r="F345" s="15"/>
      <c r="G345" s="15"/>
      <c r="H345" s="15"/>
      <c r="I345" s="15"/>
    </row>
    <row r="346" spans="1:9" x14ac:dyDescent="0.35">
      <c r="A346" s="15"/>
      <c r="B346" s="15"/>
      <c r="C346" s="15"/>
      <c r="D346" s="15"/>
      <c r="E346" s="15"/>
      <c r="F346" s="15"/>
      <c r="G346" s="15"/>
      <c r="H346" s="15"/>
      <c r="I346" s="15"/>
    </row>
    <row r="347" spans="1:9" x14ac:dyDescent="0.35">
      <c r="A347" s="15"/>
      <c r="B347" s="15"/>
      <c r="C347" s="15"/>
      <c r="D347" s="15"/>
      <c r="E347" s="15"/>
      <c r="F347" s="15"/>
      <c r="G347" s="15"/>
      <c r="H347" s="15"/>
      <c r="I347" s="15"/>
    </row>
    <row r="348" spans="1:9" x14ac:dyDescent="0.35">
      <c r="A348" s="15"/>
      <c r="B348" s="15"/>
      <c r="C348" s="15"/>
      <c r="D348" s="15"/>
      <c r="E348" s="15"/>
      <c r="F348" s="15"/>
      <c r="G348" s="15"/>
      <c r="H348" s="15"/>
      <c r="I348" s="15"/>
    </row>
    <row r="349" spans="1:9" x14ac:dyDescent="0.35">
      <c r="A349" s="15"/>
      <c r="B349" s="15"/>
      <c r="C349" s="15"/>
      <c r="D349" s="15"/>
      <c r="E349" s="15"/>
      <c r="F349" s="15"/>
      <c r="G349" s="15"/>
      <c r="H349" s="15"/>
      <c r="I349" s="15"/>
    </row>
    <row r="350" spans="1:9" x14ac:dyDescent="0.35">
      <c r="A350" s="15"/>
      <c r="B350" s="15"/>
      <c r="C350" s="15"/>
      <c r="D350" s="15"/>
      <c r="E350" s="15"/>
      <c r="F350" s="15"/>
      <c r="G350" s="15"/>
      <c r="H350" s="15"/>
      <c r="I350" s="15"/>
    </row>
    <row r="351" spans="1:9" x14ac:dyDescent="0.35">
      <c r="A351" s="15"/>
      <c r="B351" s="15"/>
      <c r="C351" s="15"/>
      <c r="D351" s="15"/>
      <c r="E351" s="15"/>
      <c r="F351" s="15"/>
      <c r="G351" s="15"/>
      <c r="H351" s="15"/>
      <c r="I351" s="15"/>
    </row>
    <row r="352" spans="1:9" x14ac:dyDescent="0.35">
      <c r="A352" s="15"/>
      <c r="B352" s="15"/>
      <c r="C352" s="15"/>
      <c r="D352" s="15"/>
      <c r="E352" s="15"/>
      <c r="F352" s="15"/>
      <c r="G352" s="15"/>
      <c r="H352" s="15"/>
      <c r="I352" s="15"/>
    </row>
    <row r="353" spans="1:9" x14ac:dyDescent="0.35">
      <c r="A353" s="15"/>
      <c r="B353" s="15"/>
      <c r="C353" s="15"/>
      <c r="D353" s="15"/>
      <c r="E353" s="15"/>
      <c r="F353" s="15"/>
      <c r="G353" s="15"/>
      <c r="H353" s="15"/>
      <c r="I353" s="15"/>
    </row>
    <row r="354" spans="1:9" x14ac:dyDescent="0.35">
      <c r="A354" s="15"/>
      <c r="B354" s="15"/>
      <c r="C354" s="15"/>
      <c r="D354" s="15"/>
      <c r="E354" s="15"/>
      <c r="F354" s="15"/>
      <c r="G354" s="15"/>
      <c r="H354" s="15"/>
      <c r="I354" s="15"/>
    </row>
    <row r="355" spans="1:9" x14ac:dyDescent="0.35">
      <c r="A355" s="15"/>
      <c r="B355" s="15"/>
      <c r="C355" s="15"/>
      <c r="D355" s="15"/>
      <c r="E355" s="15"/>
      <c r="F355" s="15"/>
      <c r="G355" s="15"/>
      <c r="H355" s="15"/>
      <c r="I355" s="15"/>
    </row>
    <row r="356" spans="1:9" x14ac:dyDescent="0.35">
      <c r="A356" s="15"/>
      <c r="B356" s="15"/>
      <c r="C356" s="15"/>
      <c r="D356" s="15"/>
      <c r="E356" s="15"/>
      <c r="F356" s="15"/>
      <c r="G356" s="15"/>
      <c r="H356" s="15"/>
      <c r="I356" s="15"/>
    </row>
    <row r="357" spans="1:9" x14ac:dyDescent="0.35">
      <c r="A357" s="15"/>
      <c r="B357" s="15"/>
      <c r="C357" s="15"/>
      <c r="D357" s="15"/>
      <c r="E357" s="15"/>
      <c r="F357" s="15"/>
      <c r="G357" s="15"/>
      <c r="H357" s="15"/>
      <c r="I357" s="15"/>
    </row>
    <row r="358" spans="1:9" x14ac:dyDescent="0.35">
      <c r="A358" s="15"/>
      <c r="B358" s="15"/>
      <c r="C358" s="15"/>
      <c r="D358" s="15"/>
      <c r="E358" s="15"/>
      <c r="F358" s="15"/>
      <c r="G358" s="15"/>
      <c r="H358" s="15"/>
      <c r="I358" s="15"/>
    </row>
    <row r="359" spans="1:9" x14ac:dyDescent="0.35">
      <c r="A359" s="15"/>
      <c r="B359" s="15"/>
      <c r="C359" s="15"/>
      <c r="D359" s="15"/>
      <c r="E359" s="15"/>
      <c r="F359" s="15"/>
      <c r="G359" s="15"/>
      <c r="H359" s="15"/>
      <c r="I359" s="15"/>
    </row>
    <row r="360" spans="1:9" x14ac:dyDescent="0.35">
      <c r="A360" s="15"/>
      <c r="B360" s="15"/>
      <c r="C360" s="15"/>
      <c r="D360" s="15"/>
      <c r="E360" s="15"/>
      <c r="F360" s="15"/>
      <c r="G360" s="15"/>
      <c r="H360" s="15"/>
      <c r="I360" s="15"/>
    </row>
    <row r="361" spans="1:9" x14ac:dyDescent="0.35">
      <c r="A361" s="15"/>
      <c r="B361" s="15"/>
      <c r="C361" s="15"/>
      <c r="D361" s="15"/>
      <c r="E361" s="15"/>
      <c r="F361" s="15"/>
      <c r="G361" s="15"/>
      <c r="H361" s="15"/>
      <c r="I361" s="15"/>
    </row>
    <row r="362" spans="1:9" x14ac:dyDescent="0.35">
      <c r="A362" s="15"/>
      <c r="B362" s="15"/>
      <c r="C362" s="15"/>
      <c r="D362" s="15"/>
      <c r="E362" s="15"/>
      <c r="F362" s="15"/>
      <c r="G362" s="15"/>
      <c r="H362" s="15"/>
      <c r="I362" s="15"/>
    </row>
    <row r="363" spans="1:9" x14ac:dyDescent="0.35">
      <c r="A363" s="15"/>
      <c r="B363" s="15"/>
      <c r="C363" s="15"/>
      <c r="D363" s="15"/>
      <c r="E363" s="15"/>
      <c r="F363" s="15"/>
      <c r="G363" s="15"/>
      <c r="H363" s="15"/>
      <c r="I363" s="15"/>
    </row>
    <row r="364" spans="1:9" x14ac:dyDescent="0.35">
      <c r="A364" s="15"/>
      <c r="B364" s="15"/>
      <c r="C364" s="15"/>
      <c r="D364" s="15"/>
      <c r="E364" s="15"/>
      <c r="F364" s="15"/>
      <c r="G364" s="15"/>
      <c r="H364" s="15"/>
      <c r="I364" s="15"/>
    </row>
    <row r="365" spans="1:9" x14ac:dyDescent="0.35">
      <c r="A365" s="15"/>
      <c r="B365" s="15"/>
      <c r="C365" s="15"/>
      <c r="D365" s="15"/>
      <c r="E365" s="15"/>
      <c r="F365" s="15"/>
      <c r="G365" s="15"/>
      <c r="H365" s="15"/>
      <c r="I365" s="15"/>
    </row>
    <row r="366" spans="1:9" x14ac:dyDescent="0.35">
      <c r="A366" s="15"/>
      <c r="B366" s="15"/>
      <c r="C366" s="15"/>
      <c r="D366" s="15"/>
      <c r="E366" s="15"/>
      <c r="F366" s="15"/>
      <c r="G366" s="15"/>
      <c r="H366" s="15"/>
      <c r="I366" s="15"/>
    </row>
    <row r="367" spans="1:9" x14ac:dyDescent="0.35">
      <c r="A367" s="15"/>
      <c r="B367" s="15"/>
      <c r="C367" s="15"/>
      <c r="D367" s="15"/>
      <c r="E367" s="15"/>
      <c r="F367" s="15"/>
      <c r="G367" s="15"/>
      <c r="H367" s="15"/>
      <c r="I367" s="15"/>
    </row>
    <row r="368" spans="1:9" x14ac:dyDescent="0.35">
      <c r="A368" s="15"/>
      <c r="B368" s="15"/>
      <c r="C368" s="15"/>
      <c r="D368" s="15"/>
      <c r="E368" s="15"/>
      <c r="F368" s="15"/>
      <c r="G368" s="15"/>
      <c r="H368" s="15"/>
      <c r="I368" s="15"/>
    </row>
    <row r="369" spans="1:9" x14ac:dyDescent="0.35">
      <c r="A369" s="15"/>
      <c r="B369" s="15"/>
      <c r="C369" s="15"/>
      <c r="D369" s="15"/>
      <c r="E369" s="15"/>
      <c r="F369" s="15"/>
      <c r="G369" s="15"/>
      <c r="H369" s="15"/>
      <c r="I369" s="15"/>
    </row>
    <row r="370" spans="1:9" x14ac:dyDescent="0.35">
      <c r="A370" s="15"/>
      <c r="B370" s="15"/>
      <c r="C370" s="15"/>
      <c r="D370" s="15"/>
      <c r="E370" s="15"/>
      <c r="F370" s="15"/>
      <c r="G370" s="15"/>
      <c r="H370" s="15"/>
      <c r="I370" s="15"/>
    </row>
    <row r="371" spans="1:9" x14ac:dyDescent="0.35">
      <c r="A371" s="15"/>
      <c r="B371" s="15"/>
      <c r="C371" s="15"/>
      <c r="D371" s="15"/>
      <c r="E371" s="15"/>
      <c r="F371" s="15"/>
      <c r="G371" s="15"/>
      <c r="H371" s="15"/>
      <c r="I371" s="15"/>
    </row>
    <row r="372" spans="1:9" x14ac:dyDescent="0.35">
      <c r="A372" s="15"/>
      <c r="B372" s="15"/>
      <c r="C372" s="15"/>
      <c r="D372" s="15"/>
      <c r="E372" s="15"/>
      <c r="F372" s="15"/>
      <c r="G372" s="15"/>
      <c r="H372" s="15"/>
      <c r="I372" s="15"/>
    </row>
    <row r="373" spans="1:9" x14ac:dyDescent="0.35">
      <c r="A373" s="15"/>
      <c r="B373" s="15"/>
      <c r="C373" s="15"/>
      <c r="D373" s="15"/>
      <c r="E373" s="15"/>
      <c r="F373" s="15"/>
      <c r="G373" s="15"/>
      <c r="H373" s="15"/>
      <c r="I373" s="15"/>
    </row>
    <row r="374" spans="1:9" x14ac:dyDescent="0.35">
      <c r="A374" s="15"/>
      <c r="B374" s="15"/>
      <c r="C374" s="15"/>
      <c r="D374" s="15"/>
      <c r="E374" s="15"/>
      <c r="F374" s="15"/>
      <c r="G374" s="15"/>
      <c r="H374" s="15"/>
      <c r="I374" s="15"/>
    </row>
    <row r="375" spans="1:9" x14ac:dyDescent="0.35">
      <c r="A375" s="15"/>
      <c r="B375" s="15"/>
      <c r="C375" s="15"/>
      <c r="D375" s="15"/>
      <c r="E375" s="15"/>
      <c r="F375" s="15"/>
      <c r="G375" s="15"/>
      <c r="H375" s="15"/>
      <c r="I375" s="15"/>
    </row>
    <row r="376" spans="1:9" x14ac:dyDescent="0.35">
      <c r="A376" s="15"/>
      <c r="B376" s="15"/>
      <c r="C376" s="15"/>
      <c r="D376" s="15"/>
      <c r="E376" s="15"/>
      <c r="F376" s="15"/>
      <c r="G376" s="15"/>
      <c r="H376" s="15"/>
      <c r="I376" s="15"/>
    </row>
    <row r="377" spans="1:9" x14ac:dyDescent="0.35">
      <c r="A377" s="15"/>
      <c r="B377" s="15"/>
      <c r="C377" s="15"/>
      <c r="D377" s="15"/>
      <c r="E377" s="15"/>
      <c r="F377" s="15"/>
      <c r="G377" s="15"/>
      <c r="H377" s="15"/>
      <c r="I377" s="15"/>
    </row>
    <row r="378" spans="1:9" x14ac:dyDescent="0.35">
      <c r="A378" s="15"/>
      <c r="B378" s="15"/>
      <c r="C378" s="15"/>
      <c r="D378" s="15"/>
      <c r="E378" s="15"/>
      <c r="F378" s="15"/>
      <c r="G378" s="15"/>
      <c r="H378" s="15"/>
      <c r="I378" s="15"/>
    </row>
    <row r="379" spans="1:9" x14ac:dyDescent="0.35">
      <c r="A379" s="15"/>
      <c r="B379" s="15"/>
      <c r="C379" s="15"/>
      <c r="D379" s="15"/>
      <c r="E379" s="15"/>
      <c r="F379" s="15"/>
      <c r="G379" s="15"/>
      <c r="H379" s="15"/>
      <c r="I379" s="15"/>
    </row>
    <row r="380" spans="1:9" x14ac:dyDescent="0.35">
      <c r="A380" s="15"/>
      <c r="B380" s="15"/>
      <c r="C380" s="15"/>
      <c r="D380" s="15"/>
      <c r="E380" s="15"/>
      <c r="F380" s="15"/>
      <c r="G380" s="15"/>
      <c r="H380" s="15"/>
      <c r="I380" s="15"/>
    </row>
    <row r="381" spans="1:9" x14ac:dyDescent="0.35">
      <c r="A381" s="15"/>
      <c r="B381" s="15"/>
      <c r="C381" s="15"/>
      <c r="D381" s="15"/>
      <c r="E381" s="15"/>
      <c r="F381" s="15"/>
      <c r="G381" s="15"/>
      <c r="H381" s="15"/>
      <c r="I381" s="15"/>
    </row>
    <row r="382" spans="1:9" x14ac:dyDescent="0.35">
      <c r="A382" s="15"/>
      <c r="B382" s="15"/>
      <c r="C382" s="15"/>
      <c r="D382" s="15"/>
      <c r="E382" s="15"/>
      <c r="F382" s="15"/>
      <c r="G382" s="15"/>
      <c r="H382" s="15"/>
      <c r="I382" s="15"/>
    </row>
    <row r="383" spans="1:9" x14ac:dyDescent="0.35">
      <c r="A383" s="15"/>
      <c r="B383" s="15"/>
      <c r="C383" s="15"/>
      <c r="D383" s="15"/>
      <c r="E383" s="15"/>
      <c r="F383" s="15"/>
      <c r="G383" s="15"/>
      <c r="H383" s="15"/>
      <c r="I383" s="15"/>
    </row>
    <row r="384" spans="1:9" x14ac:dyDescent="0.35">
      <c r="A384" s="15"/>
      <c r="B384" s="15"/>
      <c r="C384" s="15"/>
      <c r="D384" s="15"/>
      <c r="E384" s="15"/>
      <c r="F384" s="15"/>
      <c r="G384" s="15"/>
      <c r="H384" s="15"/>
      <c r="I384" s="15"/>
    </row>
    <row r="385" spans="1:9" x14ac:dyDescent="0.35">
      <c r="A385" s="15"/>
      <c r="B385" s="15"/>
      <c r="C385" s="15"/>
      <c r="D385" s="15"/>
      <c r="E385" s="15"/>
      <c r="F385" s="15"/>
      <c r="G385" s="15"/>
      <c r="H385" s="15"/>
      <c r="I385" s="15"/>
    </row>
    <row r="386" spans="1:9" x14ac:dyDescent="0.35">
      <c r="A386" s="15"/>
      <c r="B386" s="15"/>
      <c r="C386" s="15"/>
      <c r="D386" s="15"/>
      <c r="E386" s="15"/>
      <c r="F386" s="15"/>
      <c r="G386" s="15"/>
      <c r="H386" s="15"/>
      <c r="I386" s="15"/>
    </row>
    <row r="387" spans="1:9" x14ac:dyDescent="0.35">
      <c r="A387" s="15"/>
      <c r="B387" s="15"/>
      <c r="C387" s="15"/>
      <c r="D387" s="15"/>
      <c r="E387" s="15"/>
      <c r="F387" s="15"/>
      <c r="G387" s="15"/>
      <c r="H387" s="15"/>
      <c r="I387" s="15"/>
    </row>
    <row r="388" spans="1:9" x14ac:dyDescent="0.35">
      <c r="A388" s="15"/>
      <c r="B388" s="15"/>
      <c r="C388" s="15"/>
      <c r="D388" s="15"/>
      <c r="E388" s="15"/>
      <c r="F388" s="15"/>
      <c r="G388" s="15"/>
      <c r="H388" s="15"/>
      <c r="I388" s="15"/>
    </row>
    <row r="389" spans="1:9" x14ac:dyDescent="0.35">
      <c r="A389" s="15"/>
      <c r="B389" s="15"/>
      <c r="C389" s="15"/>
      <c r="D389" s="15"/>
      <c r="E389" s="15"/>
      <c r="F389" s="15"/>
      <c r="G389" s="15"/>
      <c r="H389" s="15"/>
      <c r="I389" s="15"/>
    </row>
    <row r="390" spans="1:9" x14ac:dyDescent="0.35">
      <c r="A390" s="15"/>
      <c r="B390" s="15"/>
      <c r="C390" s="15"/>
      <c r="D390" s="15"/>
      <c r="E390" s="15"/>
      <c r="F390" s="15"/>
      <c r="G390" s="15"/>
      <c r="H390" s="15"/>
      <c r="I390" s="15"/>
    </row>
    <row r="391" spans="1:9" x14ac:dyDescent="0.35">
      <c r="A391" s="15"/>
      <c r="B391" s="15"/>
      <c r="C391" s="15"/>
      <c r="D391" s="15"/>
      <c r="E391" s="15"/>
      <c r="F391" s="15"/>
      <c r="G391" s="15"/>
      <c r="H391" s="15"/>
      <c r="I391" s="15"/>
    </row>
    <row r="392" spans="1:9" x14ac:dyDescent="0.35">
      <c r="A392" s="15"/>
      <c r="B392" s="15"/>
      <c r="C392" s="15"/>
      <c r="D392" s="15"/>
      <c r="E392" s="15"/>
      <c r="F392" s="15"/>
      <c r="G392" s="15"/>
      <c r="H392" s="15"/>
      <c r="I392" s="15"/>
    </row>
    <row r="393" spans="1:9" x14ac:dyDescent="0.35">
      <c r="A393" s="15"/>
      <c r="B393" s="15"/>
      <c r="C393" s="15"/>
      <c r="D393" s="15"/>
      <c r="E393" s="15"/>
      <c r="F393" s="15"/>
      <c r="G393" s="15"/>
      <c r="H393" s="15"/>
      <c r="I393" s="15"/>
    </row>
    <row r="394" spans="1:9" x14ac:dyDescent="0.35">
      <c r="A394" s="15"/>
      <c r="B394" s="15"/>
      <c r="C394" s="15"/>
      <c r="D394" s="15"/>
      <c r="E394" s="15"/>
      <c r="F394" s="15"/>
      <c r="G394" s="15"/>
      <c r="H394" s="15"/>
      <c r="I394" s="15"/>
    </row>
    <row r="395" spans="1:9" x14ac:dyDescent="0.35">
      <c r="A395" s="15"/>
      <c r="B395" s="15"/>
      <c r="C395" s="15"/>
      <c r="D395" s="15"/>
      <c r="E395" s="15"/>
      <c r="F395" s="15"/>
      <c r="G395" s="15"/>
      <c r="H395" s="15"/>
      <c r="I395" s="15"/>
    </row>
    <row r="396" spans="1:9" x14ac:dyDescent="0.35">
      <c r="A396" s="15"/>
      <c r="B396" s="15"/>
      <c r="C396" s="15"/>
      <c r="D396" s="15"/>
      <c r="E396" s="15"/>
      <c r="F396" s="15"/>
      <c r="G396" s="15"/>
      <c r="H396" s="15"/>
      <c r="I396" s="15"/>
    </row>
    <row r="397" spans="1:9" x14ac:dyDescent="0.35">
      <c r="A397" s="15"/>
      <c r="B397" s="15"/>
      <c r="C397" s="15"/>
      <c r="D397" s="15"/>
      <c r="E397" s="15"/>
      <c r="F397" s="15"/>
      <c r="G397" s="15"/>
      <c r="H397" s="15"/>
      <c r="I397" s="15"/>
    </row>
    <row r="398" spans="1:9" x14ac:dyDescent="0.35">
      <c r="A398" s="15"/>
      <c r="B398" s="15"/>
      <c r="C398" s="15"/>
      <c r="D398" s="15"/>
      <c r="E398" s="15"/>
      <c r="F398" s="15"/>
      <c r="G398" s="15"/>
      <c r="H398" s="15"/>
      <c r="I398" s="15"/>
    </row>
    <row r="399" spans="1:9" x14ac:dyDescent="0.35">
      <c r="A399" s="15"/>
      <c r="B399" s="15"/>
      <c r="C399" s="15"/>
      <c r="D399" s="15"/>
      <c r="E399" s="15"/>
      <c r="F399" s="15"/>
      <c r="G399" s="15"/>
      <c r="H399" s="15"/>
      <c r="I399" s="15"/>
    </row>
    <row r="400" spans="1:9" x14ac:dyDescent="0.35">
      <c r="A400" s="15"/>
      <c r="B400" s="15"/>
      <c r="C400" s="15"/>
      <c r="D400" s="15"/>
      <c r="E400" s="15"/>
      <c r="F400" s="15"/>
      <c r="G400" s="15"/>
      <c r="H400" s="15"/>
      <c r="I400" s="15"/>
    </row>
    <row r="401" spans="1:9" x14ac:dyDescent="0.35">
      <c r="A401" s="15"/>
      <c r="B401" s="15"/>
      <c r="C401" s="15"/>
      <c r="D401" s="15"/>
      <c r="E401" s="15"/>
      <c r="F401" s="15"/>
      <c r="G401" s="15"/>
      <c r="H401" s="15"/>
      <c r="I401" s="15"/>
    </row>
    <row r="402" spans="1:9" x14ac:dyDescent="0.35">
      <c r="A402" s="15"/>
      <c r="B402" s="15"/>
      <c r="C402" s="15"/>
      <c r="D402" s="15"/>
      <c r="E402" s="15"/>
      <c r="F402" s="15"/>
      <c r="G402" s="15"/>
      <c r="H402" s="15"/>
      <c r="I402" s="15"/>
    </row>
    <row r="403" spans="1:9" x14ac:dyDescent="0.35">
      <c r="A403" s="15"/>
      <c r="B403" s="15"/>
      <c r="C403" s="15"/>
      <c r="D403" s="15"/>
      <c r="E403" s="15"/>
      <c r="F403" s="15"/>
      <c r="G403" s="15"/>
      <c r="H403" s="15"/>
      <c r="I403" s="15"/>
    </row>
    <row r="404" spans="1:9" x14ac:dyDescent="0.35">
      <c r="A404" s="15"/>
      <c r="B404" s="15"/>
      <c r="C404" s="15"/>
      <c r="D404" s="15"/>
      <c r="E404" s="15"/>
      <c r="F404" s="15"/>
      <c r="G404" s="15"/>
      <c r="H404" s="15"/>
      <c r="I404" s="15"/>
    </row>
    <row r="405" spans="1:9" x14ac:dyDescent="0.35">
      <c r="A405" s="15"/>
      <c r="B405" s="15"/>
      <c r="C405" s="15"/>
      <c r="D405" s="15"/>
      <c r="E405" s="15"/>
      <c r="F405" s="15"/>
      <c r="G405" s="15"/>
      <c r="H405" s="15"/>
      <c r="I405" s="15"/>
    </row>
    <row r="406" spans="1:9" x14ac:dyDescent="0.35">
      <c r="A406" s="15"/>
      <c r="B406" s="15"/>
      <c r="C406" s="15"/>
      <c r="D406" s="15"/>
      <c r="E406" s="15"/>
      <c r="F406" s="15"/>
      <c r="G406" s="15"/>
      <c r="H406" s="15"/>
      <c r="I406" s="15"/>
    </row>
    <row r="407" spans="1:9" x14ac:dyDescent="0.35">
      <c r="A407" s="15"/>
      <c r="B407" s="15"/>
      <c r="C407" s="15"/>
      <c r="D407" s="15"/>
      <c r="E407" s="15"/>
      <c r="F407" s="15"/>
      <c r="G407" s="15"/>
      <c r="H407" s="15"/>
      <c r="I407" s="15"/>
    </row>
    <row r="408" spans="1:9" x14ac:dyDescent="0.35">
      <c r="A408" s="15"/>
      <c r="B408" s="15"/>
      <c r="C408" s="15"/>
      <c r="D408" s="15"/>
      <c r="E408" s="15"/>
      <c r="F408" s="15"/>
      <c r="G408" s="15"/>
      <c r="H408" s="15"/>
      <c r="I408" s="15"/>
    </row>
    <row r="409" spans="1:9" x14ac:dyDescent="0.35">
      <c r="A409" s="15"/>
      <c r="B409" s="15"/>
      <c r="C409" s="15"/>
      <c r="D409" s="15"/>
      <c r="E409" s="15"/>
      <c r="F409" s="15"/>
      <c r="G409" s="15"/>
      <c r="H409" s="15"/>
      <c r="I409" s="15"/>
    </row>
    <row r="410" spans="1:9" x14ac:dyDescent="0.35">
      <c r="A410" s="15"/>
      <c r="B410" s="15"/>
      <c r="C410" s="15"/>
      <c r="D410" s="15"/>
      <c r="E410" s="15"/>
      <c r="F410" s="15"/>
      <c r="G410" s="15"/>
      <c r="H410" s="15"/>
      <c r="I410" s="15"/>
    </row>
    <row r="411" spans="1:9" x14ac:dyDescent="0.35">
      <c r="A411" s="15"/>
      <c r="B411" s="15"/>
      <c r="C411" s="15"/>
      <c r="D411" s="15"/>
      <c r="E411" s="15"/>
      <c r="F411" s="15"/>
      <c r="G411" s="15"/>
      <c r="H411" s="15"/>
      <c r="I411" s="15"/>
    </row>
    <row r="412" spans="1:9" x14ac:dyDescent="0.35">
      <c r="A412" s="15"/>
      <c r="B412" s="15"/>
      <c r="C412" s="15"/>
      <c r="D412" s="15"/>
      <c r="E412" s="15"/>
      <c r="F412" s="15"/>
      <c r="G412" s="15"/>
      <c r="H412" s="15"/>
      <c r="I412" s="15"/>
    </row>
    <row r="413" spans="1:9" x14ac:dyDescent="0.35">
      <c r="A413" s="15"/>
      <c r="B413" s="15"/>
      <c r="C413" s="15"/>
      <c r="D413" s="15"/>
      <c r="E413" s="15"/>
      <c r="F413" s="15"/>
      <c r="G413" s="15"/>
      <c r="H413" s="15"/>
      <c r="I413" s="15"/>
    </row>
    <row r="414" spans="1:9" x14ac:dyDescent="0.35">
      <c r="A414" s="15"/>
      <c r="B414" s="15"/>
      <c r="C414" s="15"/>
      <c r="D414" s="15"/>
      <c r="E414" s="15"/>
      <c r="F414" s="15"/>
      <c r="G414" s="15"/>
      <c r="H414" s="15"/>
      <c r="I414" s="15"/>
    </row>
    <row r="415" spans="1:9" x14ac:dyDescent="0.35">
      <c r="A415" s="15"/>
      <c r="B415" s="15"/>
      <c r="C415" s="15"/>
      <c r="D415" s="15"/>
      <c r="E415" s="15"/>
      <c r="F415" s="15"/>
      <c r="G415" s="15"/>
      <c r="H415" s="15"/>
      <c r="I415" s="15"/>
    </row>
    <row r="416" spans="1:9" x14ac:dyDescent="0.35">
      <c r="A416" s="15"/>
      <c r="B416" s="15"/>
      <c r="C416" s="15"/>
      <c r="D416" s="15"/>
      <c r="E416" s="15"/>
      <c r="F416" s="15"/>
      <c r="G416" s="15"/>
      <c r="H416" s="15"/>
      <c r="I416" s="15"/>
    </row>
    <row r="417" spans="1:9" x14ac:dyDescent="0.35">
      <c r="A417" s="15"/>
      <c r="B417" s="15"/>
      <c r="C417" s="15"/>
      <c r="D417" s="15"/>
      <c r="E417" s="15"/>
      <c r="F417" s="15"/>
      <c r="G417" s="15"/>
      <c r="H417" s="15"/>
      <c r="I417" s="15"/>
    </row>
    <row r="418" spans="1:9" x14ac:dyDescent="0.35">
      <c r="A418" s="15"/>
      <c r="B418" s="15"/>
      <c r="C418" s="15"/>
      <c r="D418" s="15"/>
      <c r="E418" s="15"/>
      <c r="F418" s="15"/>
      <c r="G418" s="15"/>
      <c r="H418" s="15"/>
      <c r="I418" s="15"/>
    </row>
    <row r="419" spans="1:9" x14ac:dyDescent="0.35">
      <c r="A419" s="15"/>
      <c r="B419" s="15"/>
      <c r="C419" s="15"/>
      <c r="D419" s="15"/>
      <c r="E419" s="15"/>
      <c r="F419" s="15"/>
      <c r="G419" s="15"/>
      <c r="H419" s="15"/>
      <c r="I419" s="15"/>
    </row>
    <row r="420" spans="1:9" x14ac:dyDescent="0.35">
      <c r="A420" s="15"/>
      <c r="B420" s="15"/>
      <c r="C420" s="15"/>
      <c r="D420" s="15"/>
      <c r="E420" s="15"/>
      <c r="F420" s="15"/>
      <c r="G420" s="15"/>
      <c r="H420" s="15"/>
      <c r="I420" s="15"/>
    </row>
    <row r="421" spans="1:9" x14ac:dyDescent="0.35">
      <c r="A421" s="15"/>
      <c r="B421" s="15"/>
      <c r="C421" s="15"/>
      <c r="D421" s="15"/>
      <c r="E421" s="15"/>
      <c r="F421" s="15"/>
      <c r="G421" s="15"/>
      <c r="H421" s="15"/>
      <c r="I421" s="15"/>
    </row>
    <row r="422" spans="1:9" x14ac:dyDescent="0.35">
      <c r="A422" s="15"/>
      <c r="B422" s="15"/>
      <c r="C422" s="15"/>
      <c r="D422" s="15"/>
      <c r="E422" s="15"/>
      <c r="F422" s="15"/>
      <c r="G422" s="15"/>
      <c r="H422" s="15"/>
      <c r="I422" s="15"/>
    </row>
    <row r="423" spans="1:9" x14ac:dyDescent="0.35">
      <c r="A423" s="15"/>
      <c r="B423" s="15"/>
      <c r="C423" s="15"/>
      <c r="D423" s="15"/>
      <c r="E423" s="15"/>
      <c r="F423" s="15"/>
      <c r="G423" s="15"/>
      <c r="H423" s="15"/>
      <c r="I423" s="15"/>
    </row>
    <row r="424" spans="1:9" x14ac:dyDescent="0.35">
      <c r="A424" s="15"/>
      <c r="B424" s="15"/>
      <c r="C424" s="15"/>
      <c r="D424" s="15"/>
      <c r="E424" s="15"/>
      <c r="F424" s="15"/>
      <c r="G424" s="15"/>
      <c r="H424" s="15"/>
      <c r="I424" s="15"/>
    </row>
    <row r="425" spans="1:9" x14ac:dyDescent="0.35">
      <c r="A425" s="15"/>
      <c r="B425" s="15"/>
      <c r="C425" s="15"/>
      <c r="D425" s="15"/>
      <c r="E425" s="15"/>
      <c r="F425" s="15"/>
      <c r="G425" s="15"/>
      <c r="H425" s="15"/>
      <c r="I425" s="15"/>
    </row>
    <row r="426" spans="1:9" x14ac:dyDescent="0.35">
      <c r="A426" s="15"/>
      <c r="B426" s="15"/>
      <c r="C426" s="15"/>
      <c r="D426" s="15"/>
      <c r="E426" s="15"/>
      <c r="F426" s="15"/>
      <c r="G426" s="15"/>
      <c r="H426" s="15"/>
      <c r="I426" s="15"/>
    </row>
    <row r="427" spans="1:9" x14ac:dyDescent="0.35">
      <c r="A427" s="15"/>
      <c r="B427" s="15"/>
      <c r="C427" s="15"/>
      <c r="D427" s="15"/>
      <c r="E427" s="15"/>
      <c r="F427" s="15"/>
      <c r="G427" s="15"/>
      <c r="H427" s="15"/>
      <c r="I427" s="15"/>
    </row>
    <row r="428" spans="1:9" x14ac:dyDescent="0.35">
      <c r="A428" s="15"/>
      <c r="B428" s="15"/>
      <c r="C428" s="15"/>
      <c r="D428" s="15"/>
      <c r="E428" s="15"/>
      <c r="F428" s="15"/>
      <c r="G428" s="15"/>
      <c r="H428" s="15"/>
      <c r="I428" s="15"/>
    </row>
    <row r="429" spans="1:9" x14ac:dyDescent="0.35">
      <c r="A429" s="15"/>
      <c r="B429" s="15"/>
      <c r="C429" s="15"/>
      <c r="D429" s="15"/>
      <c r="E429" s="15"/>
      <c r="F429" s="15"/>
      <c r="G429" s="15"/>
      <c r="H429" s="15"/>
      <c r="I429" s="15"/>
    </row>
    <row r="430" spans="1:9" x14ac:dyDescent="0.35">
      <c r="A430" s="15"/>
      <c r="B430" s="15"/>
      <c r="C430" s="15"/>
      <c r="D430" s="15"/>
      <c r="E430" s="15"/>
      <c r="F430" s="15"/>
      <c r="G430" s="15"/>
      <c r="H430" s="15"/>
      <c r="I430" s="15"/>
    </row>
    <row r="431" spans="1:9" x14ac:dyDescent="0.35">
      <c r="A431" s="15"/>
      <c r="B431" s="15"/>
      <c r="C431" s="15"/>
      <c r="D431" s="15"/>
      <c r="E431" s="15"/>
      <c r="F431" s="15"/>
      <c r="G431" s="15"/>
      <c r="H431" s="15"/>
      <c r="I431" s="15"/>
    </row>
    <row r="432" spans="1:9" x14ac:dyDescent="0.35">
      <c r="A432" s="15"/>
      <c r="B432" s="15"/>
      <c r="C432" s="15"/>
      <c r="D432" s="15"/>
      <c r="E432" s="15"/>
      <c r="F432" s="15"/>
      <c r="G432" s="15"/>
      <c r="H432" s="15"/>
      <c r="I432" s="15"/>
    </row>
    <row r="433" spans="1:9" x14ac:dyDescent="0.35">
      <c r="A433" s="15"/>
      <c r="B433" s="15"/>
      <c r="C433" s="15"/>
      <c r="D433" s="15"/>
      <c r="E433" s="15"/>
      <c r="F433" s="15"/>
      <c r="G433" s="15"/>
      <c r="H433" s="15"/>
      <c r="I433" s="15"/>
    </row>
    <row r="434" spans="1:9" x14ac:dyDescent="0.35">
      <c r="A434" s="15"/>
      <c r="B434" s="15"/>
      <c r="C434" s="15"/>
      <c r="D434" s="15"/>
      <c r="E434" s="15"/>
      <c r="F434" s="15"/>
      <c r="G434" s="15"/>
      <c r="H434" s="15"/>
      <c r="I434" s="15"/>
    </row>
    <row r="435" spans="1:9" x14ac:dyDescent="0.35">
      <c r="A435" s="15"/>
      <c r="B435" s="15"/>
      <c r="C435" s="15"/>
      <c r="D435" s="15"/>
      <c r="E435" s="15"/>
      <c r="F435" s="15"/>
      <c r="G435" s="15"/>
      <c r="H435" s="15"/>
      <c r="I435" s="15"/>
    </row>
    <row r="436" spans="1:9" x14ac:dyDescent="0.35">
      <c r="A436" s="15"/>
      <c r="B436" s="15"/>
      <c r="C436" s="15"/>
      <c r="D436" s="15"/>
      <c r="E436" s="15"/>
      <c r="F436" s="15"/>
      <c r="G436" s="15"/>
      <c r="H436" s="15"/>
      <c r="I436" s="15"/>
    </row>
    <row r="437" spans="1:9" x14ac:dyDescent="0.35">
      <c r="A437" s="15"/>
      <c r="B437" s="15"/>
      <c r="C437" s="15"/>
      <c r="D437" s="15"/>
      <c r="E437" s="15"/>
      <c r="F437" s="15"/>
      <c r="G437" s="15"/>
      <c r="H437" s="15"/>
      <c r="I437" s="15"/>
    </row>
    <row r="438" spans="1:9" x14ac:dyDescent="0.35">
      <c r="A438" s="15"/>
      <c r="B438" s="15"/>
      <c r="C438" s="15"/>
      <c r="D438" s="15"/>
      <c r="E438" s="15"/>
      <c r="F438" s="15"/>
      <c r="G438" s="15"/>
      <c r="H438" s="15"/>
      <c r="I438" s="15"/>
    </row>
    <row r="439" spans="1:9" x14ac:dyDescent="0.35">
      <c r="A439" s="15"/>
      <c r="B439" s="15"/>
      <c r="C439" s="15"/>
      <c r="D439" s="15"/>
      <c r="E439" s="15"/>
      <c r="F439" s="15"/>
      <c r="G439" s="15"/>
      <c r="H439" s="15"/>
      <c r="I439" s="15"/>
    </row>
    <row r="440" spans="1:9" x14ac:dyDescent="0.35">
      <c r="A440" s="15"/>
      <c r="B440" s="15"/>
      <c r="C440" s="15"/>
      <c r="D440" s="15"/>
      <c r="E440" s="15"/>
      <c r="F440" s="15"/>
      <c r="G440" s="15"/>
      <c r="H440" s="15"/>
      <c r="I440" s="15"/>
    </row>
    <row r="441" spans="1:9" x14ac:dyDescent="0.35">
      <c r="A441" s="15"/>
      <c r="B441" s="15"/>
      <c r="C441" s="15"/>
      <c r="D441" s="15"/>
      <c r="E441" s="15"/>
      <c r="F441" s="15"/>
      <c r="G441" s="15"/>
      <c r="H441" s="15"/>
      <c r="I441" s="15"/>
    </row>
    <row r="442" spans="1:9" x14ac:dyDescent="0.35">
      <c r="A442" s="15"/>
      <c r="B442" s="15"/>
      <c r="C442" s="15"/>
      <c r="D442" s="15"/>
      <c r="E442" s="15"/>
      <c r="F442" s="15"/>
      <c r="G442" s="15"/>
      <c r="H442" s="15"/>
      <c r="I442" s="15"/>
    </row>
    <row r="443" spans="1:9" x14ac:dyDescent="0.35">
      <c r="A443" s="15"/>
      <c r="B443" s="15"/>
      <c r="C443" s="15"/>
      <c r="D443" s="15"/>
      <c r="E443" s="15"/>
      <c r="F443" s="15"/>
      <c r="G443" s="15"/>
      <c r="H443" s="15"/>
      <c r="I443" s="15"/>
    </row>
    <row r="444" spans="1:9" x14ac:dyDescent="0.35">
      <c r="A444" s="15"/>
      <c r="B444" s="15"/>
      <c r="C444" s="15"/>
      <c r="D444" s="15"/>
      <c r="E444" s="15"/>
      <c r="F444" s="15"/>
      <c r="G444" s="15"/>
      <c r="H444" s="15"/>
      <c r="I444" s="15"/>
    </row>
    <row r="445" spans="1:9" x14ac:dyDescent="0.35">
      <c r="A445" s="15"/>
      <c r="B445" s="15"/>
      <c r="C445" s="15"/>
      <c r="D445" s="15"/>
      <c r="E445" s="15"/>
      <c r="F445" s="15"/>
      <c r="G445" s="15"/>
      <c r="H445" s="15"/>
      <c r="I445" s="15"/>
    </row>
    <row r="446" spans="1:9" x14ac:dyDescent="0.35">
      <c r="A446" s="15"/>
      <c r="B446" s="15"/>
      <c r="C446" s="15"/>
      <c r="D446" s="15"/>
      <c r="E446" s="15"/>
      <c r="F446" s="15"/>
      <c r="G446" s="15"/>
      <c r="H446" s="15"/>
      <c r="I446" s="15"/>
    </row>
    <row r="447" spans="1:9" x14ac:dyDescent="0.35">
      <c r="A447" s="15"/>
      <c r="B447" s="15"/>
      <c r="C447" s="15"/>
      <c r="D447" s="15"/>
      <c r="E447" s="15"/>
      <c r="F447" s="15"/>
      <c r="G447" s="15"/>
      <c r="H447" s="15"/>
      <c r="I447" s="15"/>
    </row>
    <row r="448" spans="1:9" x14ac:dyDescent="0.35">
      <c r="A448" s="15"/>
      <c r="B448" s="15"/>
      <c r="C448" s="15"/>
      <c r="D448" s="15"/>
      <c r="E448" s="15"/>
      <c r="F448" s="15"/>
      <c r="G448" s="15"/>
      <c r="H448" s="15"/>
      <c r="I448" s="15"/>
    </row>
    <row r="449" spans="1:9" x14ac:dyDescent="0.35">
      <c r="A449" s="15"/>
      <c r="B449" s="15"/>
      <c r="C449" s="15"/>
      <c r="D449" s="15"/>
      <c r="E449" s="15"/>
      <c r="F449" s="15"/>
      <c r="G449" s="15"/>
      <c r="H449" s="15"/>
      <c r="I449" s="15"/>
    </row>
    <row r="450" spans="1:9" x14ac:dyDescent="0.35">
      <c r="A450" s="15"/>
      <c r="B450" s="15"/>
      <c r="C450" s="15"/>
      <c r="D450" s="15"/>
      <c r="E450" s="15"/>
      <c r="F450" s="15"/>
      <c r="G450" s="15"/>
      <c r="H450" s="15"/>
      <c r="I450" s="15"/>
    </row>
    <row r="451" spans="1:9" x14ac:dyDescent="0.35">
      <c r="A451" s="15"/>
      <c r="B451" s="15"/>
      <c r="C451" s="15"/>
      <c r="D451" s="15"/>
      <c r="E451" s="15"/>
      <c r="F451" s="15"/>
      <c r="G451" s="15"/>
      <c r="H451" s="15"/>
      <c r="I451" s="15"/>
    </row>
    <row r="452" spans="1:9" x14ac:dyDescent="0.35">
      <c r="A452" s="15"/>
      <c r="B452" s="15"/>
      <c r="C452" s="15"/>
      <c r="D452" s="15"/>
      <c r="E452" s="15"/>
      <c r="F452" s="15"/>
      <c r="G452" s="15"/>
      <c r="H452" s="15"/>
      <c r="I452" s="15"/>
    </row>
    <row r="453" spans="1:9" x14ac:dyDescent="0.35">
      <c r="A453" s="15"/>
      <c r="B453" s="15"/>
      <c r="C453" s="15"/>
      <c r="D453" s="15"/>
      <c r="E453" s="15"/>
      <c r="F453" s="15"/>
      <c r="G453" s="15"/>
      <c r="H453" s="15"/>
      <c r="I453" s="15"/>
    </row>
    <row r="454" spans="1:9" x14ac:dyDescent="0.35">
      <c r="A454" s="15"/>
      <c r="B454" s="15"/>
      <c r="C454" s="15"/>
      <c r="D454" s="15"/>
      <c r="E454" s="15"/>
      <c r="F454" s="15"/>
      <c r="G454" s="15"/>
      <c r="H454" s="15"/>
      <c r="I454" s="15"/>
    </row>
    <row r="455" spans="1:9" x14ac:dyDescent="0.35">
      <c r="A455" s="15"/>
      <c r="B455" s="15"/>
      <c r="C455" s="15"/>
      <c r="D455" s="15"/>
      <c r="E455" s="15"/>
      <c r="F455" s="15"/>
      <c r="G455" s="15"/>
      <c r="H455" s="15"/>
      <c r="I455" s="15"/>
    </row>
    <row r="456" spans="1:9" x14ac:dyDescent="0.35">
      <c r="A456" s="15"/>
      <c r="B456" s="15"/>
      <c r="C456" s="15"/>
      <c r="D456" s="15"/>
      <c r="E456" s="15"/>
      <c r="F456" s="15"/>
      <c r="G456" s="15"/>
      <c r="H456" s="15"/>
      <c r="I456" s="15"/>
    </row>
    <row r="457" spans="1:9" x14ac:dyDescent="0.35">
      <c r="A457" s="15"/>
      <c r="B457" s="15"/>
      <c r="C457" s="15"/>
      <c r="D457" s="15"/>
      <c r="E457" s="15"/>
      <c r="F457" s="15"/>
      <c r="G457" s="15"/>
      <c r="H457" s="15"/>
      <c r="I457" s="15"/>
    </row>
    <row r="458" spans="1:9" x14ac:dyDescent="0.35">
      <c r="A458" s="15"/>
      <c r="B458" s="15"/>
      <c r="C458" s="15"/>
      <c r="D458" s="15"/>
      <c r="E458" s="15"/>
      <c r="F458" s="15"/>
      <c r="G458" s="15"/>
      <c r="H458" s="15"/>
      <c r="I458" s="15"/>
    </row>
    <row r="459" spans="1:9" x14ac:dyDescent="0.35">
      <c r="A459" s="15"/>
      <c r="B459" s="15"/>
      <c r="C459" s="15"/>
      <c r="D459" s="15"/>
      <c r="E459" s="15"/>
      <c r="F459" s="15"/>
      <c r="G459" s="15"/>
      <c r="H459" s="15"/>
      <c r="I459" s="15"/>
    </row>
    <row r="460" spans="1:9" x14ac:dyDescent="0.35">
      <c r="A460" s="15"/>
      <c r="B460" s="15"/>
      <c r="C460" s="15"/>
      <c r="D460" s="15"/>
      <c r="E460" s="15"/>
      <c r="F460" s="15"/>
      <c r="G460" s="15"/>
      <c r="H460" s="15"/>
      <c r="I460" s="15"/>
    </row>
    <row r="461" spans="1:9" x14ac:dyDescent="0.35">
      <c r="A461" s="15"/>
      <c r="B461" s="15"/>
      <c r="C461" s="15"/>
      <c r="D461" s="15"/>
      <c r="E461" s="15"/>
      <c r="F461" s="15"/>
      <c r="G461" s="15"/>
      <c r="H461" s="15"/>
      <c r="I461" s="15"/>
    </row>
    <row r="462" spans="1:9" x14ac:dyDescent="0.35">
      <c r="A462" s="15"/>
      <c r="B462" s="15"/>
      <c r="C462" s="15"/>
      <c r="D462" s="15"/>
      <c r="E462" s="15"/>
      <c r="F462" s="15"/>
      <c r="G462" s="15"/>
      <c r="H462" s="15"/>
      <c r="I462" s="15"/>
    </row>
    <row r="463" spans="1:9" x14ac:dyDescent="0.35">
      <c r="A463" s="15"/>
      <c r="B463" s="15"/>
      <c r="C463" s="15"/>
      <c r="D463" s="15"/>
      <c r="E463" s="15"/>
      <c r="F463" s="15"/>
      <c r="G463" s="15"/>
      <c r="H463" s="15"/>
      <c r="I463" s="15"/>
    </row>
    <row r="464" spans="1:9" x14ac:dyDescent="0.35">
      <c r="A464" s="15"/>
      <c r="B464" s="15"/>
      <c r="C464" s="15"/>
      <c r="D464" s="15"/>
      <c r="E464" s="15"/>
      <c r="F464" s="15"/>
      <c r="G464" s="15"/>
      <c r="H464" s="15"/>
      <c r="I464" s="15"/>
    </row>
    <row r="465" spans="1:9" x14ac:dyDescent="0.35">
      <c r="A465" s="15"/>
      <c r="B465" s="15"/>
      <c r="C465" s="15"/>
      <c r="D465" s="15"/>
      <c r="E465" s="15"/>
      <c r="F465" s="15"/>
      <c r="G465" s="15"/>
      <c r="H465" s="15"/>
      <c r="I465" s="15"/>
    </row>
    <row r="466" spans="1:9" x14ac:dyDescent="0.35">
      <c r="A466" s="15"/>
      <c r="B466" s="15"/>
      <c r="C466" s="15"/>
      <c r="D466" s="15"/>
      <c r="E466" s="15"/>
      <c r="F466" s="15"/>
      <c r="G466" s="15"/>
      <c r="H466" s="15"/>
      <c r="I466" s="15"/>
    </row>
    <row r="467" spans="1:9" x14ac:dyDescent="0.35">
      <c r="A467" s="15"/>
      <c r="B467" s="15"/>
      <c r="C467" s="15"/>
      <c r="D467" s="15"/>
      <c r="E467" s="15"/>
      <c r="F467" s="15"/>
      <c r="G467" s="15"/>
      <c r="H467" s="15"/>
      <c r="I467" s="15"/>
    </row>
    <row r="468" spans="1:9" x14ac:dyDescent="0.35">
      <c r="A468" s="15"/>
      <c r="B468" s="15"/>
      <c r="C468" s="15"/>
      <c r="D468" s="15"/>
      <c r="E468" s="15"/>
      <c r="F468" s="15"/>
      <c r="G468" s="15"/>
      <c r="H468" s="15"/>
      <c r="I468" s="15"/>
    </row>
    <row r="469" spans="1:9" x14ac:dyDescent="0.35">
      <c r="A469" s="15"/>
      <c r="B469" s="15"/>
      <c r="C469" s="15"/>
      <c r="D469" s="15"/>
      <c r="E469" s="15"/>
      <c r="F469" s="15"/>
      <c r="G469" s="15"/>
      <c r="H469" s="15"/>
      <c r="I469" s="15"/>
    </row>
    <row r="470" spans="1:9" x14ac:dyDescent="0.35">
      <c r="A470" s="15"/>
      <c r="B470" s="15"/>
      <c r="C470" s="15"/>
      <c r="D470" s="15"/>
      <c r="E470" s="15"/>
      <c r="F470" s="15"/>
      <c r="G470" s="15"/>
      <c r="H470" s="15"/>
      <c r="I470" s="15"/>
    </row>
    <row r="471" spans="1:9" x14ac:dyDescent="0.35">
      <c r="A471" s="15"/>
      <c r="B471" s="15"/>
      <c r="C471" s="15"/>
      <c r="D471" s="15"/>
      <c r="E471" s="15"/>
      <c r="F471" s="15"/>
      <c r="G471" s="15"/>
      <c r="H471" s="15"/>
      <c r="I471" s="15"/>
    </row>
    <row r="472" spans="1:9" x14ac:dyDescent="0.35">
      <c r="A472" s="15"/>
      <c r="B472" s="15"/>
      <c r="C472" s="15"/>
      <c r="D472" s="15"/>
      <c r="E472" s="15"/>
      <c r="F472" s="15"/>
      <c r="G472" s="15"/>
      <c r="H472" s="15"/>
      <c r="I472" s="15"/>
    </row>
    <row r="473" spans="1:9" x14ac:dyDescent="0.35">
      <c r="A473" s="15"/>
      <c r="B473" s="15"/>
      <c r="C473" s="15"/>
      <c r="D473" s="15"/>
      <c r="E473" s="15"/>
      <c r="F473" s="15"/>
      <c r="G473" s="15"/>
      <c r="H473" s="15"/>
      <c r="I473" s="15"/>
    </row>
    <row r="474" spans="1:9" x14ac:dyDescent="0.35">
      <c r="A474" s="15"/>
      <c r="B474" s="15"/>
      <c r="C474" s="15"/>
      <c r="D474" s="15"/>
      <c r="E474" s="15"/>
      <c r="F474" s="15"/>
      <c r="G474" s="15"/>
      <c r="H474" s="15"/>
      <c r="I474" s="15"/>
    </row>
    <row r="475" spans="1:9" x14ac:dyDescent="0.35">
      <c r="A475" s="15"/>
      <c r="B475" s="15"/>
      <c r="C475" s="15"/>
      <c r="D475" s="15"/>
      <c r="E475" s="15"/>
      <c r="F475" s="15"/>
      <c r="G475" s="15"/>
      <c r="H475" s="15"/>
      <c r="I475" s="15"/>
    </row>
    <row r="476" spans="1:9" x14ac:dyDescent="0.35">
      <c r="A476" s="15"/>
      <c r="B476" s="15"/>
      <c r="C476" s="15"/>
      <c r="D476" s="15"/>
      <c r="E476" s="15"/>
      <c r="F476" s="15"/>
      <c r="G476" s="15"/>
      <c r="H476" s="15"/>
      <c r="I476" s="15"/>
    </row>
    <row r="477" spans="1:9" x14ac:dyDescent="0.35">
      <c r="A477" s="15"/>
      <c r="B477" s="15"/>
      <c r="C477" s="15"/>
      <c r="D477" s="15"/>
      <c r="E477" s="15"/>
      <c r="F477" s="15"/>
      <c r="G477" s="15"/>
      <c r="H477" s="15"/>
      <c r="I477" s="15"/>
    </row>
    <row r="478" spans="1:9" x14ac:dyDescent="0.35">
      <c r="A478" s="15"/>
      <c r="B478" s="15"/>
      <c r="C478" s="15"/>
      <c r="D478" s="15"/>
      <c r="E478" s="15"/>
      <c r="F478" s="15"/>
      <c r="G478" s="15"/>
      <c r="H478" s="15"/>
      <c r="I478" s="15"/>
    </row>
    <row r="479" spans="1:9" x14ac:dyDescent="0.35">
      <c r="A479" s="15"/>
      <c r="B479" s="15"/>
      <c r="C479" s="15"/>
      <c r="D479" s="15"/>
      <c r="E479" s="15"/>
      <c r="F479" s="15"/>
      <c r="G479" s="15"/>
      <c r="H479" s="15"/>
      <c r="I479" s="15"/>
    </row>
    <row r="480" spans="1:9" x14ac:dyDescent="0.35">
      <c r="A480" s="15"/>
      <c r="B480" s="15"/>
      <c r="C480" s="15"/>
      <c r="D480" s="15"/>
      <c r="E480" s="15"/>
      <c r="F480" s="15"/>
      <c r="G480" s="15"/>
      <c r="H480" s="15"/>
      <c r="I480" s="15"/>
    </row>
    <row r="481" spans="1:9" x14ac:dyDescent="0.35">
      <c r="A481" s="15"/>
      <c r="B481" s="15"/>
      <c r="C481" s="15"/>
      <c r="D481" s="15"/>
      <c r="E481" s="15"/>
      <c r="F481" s="15"/>
      <c r="G481" s="15"/>
      <c r="H481" s="15"/>
      <c r="I481" s="15"/>
    </row>
    <row r="482" spans="1:9" x14ac:dyDescent="0.35">
      <c r="A482" s="15"/>
      <c r="B482" s="15"/>
      <c r="C482" s="15"/>
      <c r="D482" s="15"/>
      <c r="E482" s="15"/>
      <c r="F482" s="15"/>
      <c r="G482" s="15"/>
      <c r="H482" s="15"/>
      <c r="I482" s="15"/>
    </row>
    <row r="483" spans="1:9" x14ac:dyDescent="0.35">
      <c r="A483" s="15"/>
      <c r="B483" s="15"/>
      <c r="C483" s="15"/>
      <c r="D483" s="15"/>
      <c r="E483" s="15"/>
      <c r="F483" s="15"/>
      <c r="G483" s="15"/>
      <c r="H483" s="15"/>
      <c r="I483" s="15"/>
    </row>
    <row r="484" spans="1:9" x14ac:dyDescent="0.35">
      <c r="A484" s="15"/>
      <c r="B484" s="15"/>
      <c r="C484" s="15"/>
      <c r="D484" s="15"/>
      <c r="E484" s="15"/>
      <c r="F484" s="15"/>
      <c r="G484" s="15"/>
      <c r="H484" s="15"/>
      <c r="I484" s="15"/>
    </row>
    <row r="485" spans="1:9" x14ac:dyDescent="0.35">
      <c r="A485" s="15"/>
      <c r="B485" s="15"/>
      <c r="C485" s="15"/>
      <c r="D485" s="15"/>
      <c r="E485" s="15"/>
      <c r="F485" s="15"/>
      <c r="G485" s="15"/>
      <c r="H485" s="15"/>
      <c r="I485" s="15"/>
    </row>
    <row r="486" spans="1:9" x14ac:dyDescent="0.35">
      <c r="A486" s="15"/>
      <c r="B486" s="15"/>
      <c r="C486" s="15"/>
      <c r="D486" s="15"/>
      <c r="E486" s="15"/>
      <c r="F486" s="15"/>
      <c r="G486" s="15"/>
      <c r="H486" s="15"/>
      <c r="I486" s="15"/>
    </row>
    <row r="487" spans="1:9" x14ac:dyDescent="0.35">
      <c r="A487" s="15"/>
      <c r="B487" s="15"/>
      <c r="C487" s="15"/>
      <c r="D487" s="15"/>
      <c r="E487" s="15"/>
      <c r="F487" s="15"/>
      <c r="G487" s="15"/>
      <c r="H487" s="15"/>
      <c r="I487" s="15"/>
    </row>
    <row r="488" spans="1:9" x14ac:dyDescent="0.35">
      <c r="A488" s="15"/>
      <c r="B488" s="15"/>
      <c r="C488" s="15"/>
      <c r="D488" s="15"/>
      <c r="E488" s="15"/>
      <c r="F488" s="15"/>
      <c r="G488" s="15"/>
      <c r="H488" s="15"/>
      <c r="I488" s="15"/>
    </row>
    <row r="489" spans="1:9" x14ac:dyDescent="0.35">
      <c r="A489" s="15"/>
      <c r="B489" s="15"/>
      <c r="C489" s="15"/>
      <c r="D489" s="15"/>
      <c r="E489" s="15"/>
      <c r="F489" s="15"/>
      <c r="G489" s="15"/>
      <c r="H489" s="15"/>
      <c r="I489" s="15"/>
    </row>
    <row r="490" spans="1:9" x14ac:dyDescent="0.35">
      <c r="A490" s="15"/>
      <c r="B490" s="15"/>
      <c r="C490" s="15"/>
      <c r="D490" s="15"/>
      <c r="E490" s="15"/>
      <c r="F490" s="15"/>
      <c r="G490" s="15"/>
      <c r="H490" s="15"/>
      <c r="I490" s="15"/>
    </row>
    <row r="491" spans="1:9" x14ac:dyDescent="0.35">
      <c r="A491" s="15"/>
      <c r="B491" s="15"/>
      <c r="C491" s="15"/>
      <c r="D491" s="15"/>
      <c r="E491" s="15"/>
      <c r="F491" s="15"/>
      <c r="G491" s="15"/>
      <c r="H491" s="15"/>
      <c r="I491" s="15"/>
    </row>
    <row r="492" spans="1:9" x14ac:dyDescent="0.35">
      <c r="A492" s="15"/>
      <c r="B492" s="15"/>
      <c r="C492" s="15"/>
      <c r="D492" s="15"/>
      <c r="E492" s="15"/>
      <c r="F492" s="15"/>
      <c r="G492" s="15"/>
      <c r="H492" s="15"/>
      <c r="I492" s="15"/>
    </row>
    <row r="493" spans="1:9" x14ac:dyDescent="0.35">
      <c r="A493" s="15"/>
      <c r="B493" s="15"/>
      <c r="C493" s="15"/>
      <c r="D493" s="15"/>
      <c r="E493" s="15"/>
      <c r="F493" s="15"/>
      <c r="G493" s="15"/>
      <c r="H493" s="15"/>
      <c r="I493" s="15"/>
    </row>
    <row r="494" spans="1:9" x14ac:dyDescent="0.35">
      <c r="A494" s="15"/>
      <c r="B494" s="15"/>
      <c r="C494" s="15"/>
      <c r="D494" s="15"/>
      <c r="E494" s="15"/>
      <c r="F494" s="15"/>
      <c r="G494" s="15"/>
      <c r="H494" s="15"/>
      <c r="I494" s="15"/>
    </row>
    <row r="495" spans="1:9" x14ac:dyDescent="0.35">
      <c r="A495" s="15"/>
      <c r="B495" s="15"/>
      <c r="C495" s="15"/>
      <c r="D495" s="15"/>
      <c r="E495" s="15"/>
      <c r="F495" s="15"/>
      <c r="G495" s="15"/>
      <c r="H495" s="15"/>
      <c r="I495" s="15"/>
    </row>
    <row r="496" spans="1:9" x14ac:dyDescent="0.35">
      <c r="A496" s="15"/>
      <c r="B496" s="15"/>
      <c r="C496" s="15"/>
      <c r="D496" s="15"/>
      <c r="E496" s="15"/>
      <c r="F496" s="15"/>
      <c r="G496" s="15"/>
      <c r="H496" s="15"/>
      <c r="I496" s="15"/>
    </row>
    <row r="497" spans="1:9" x14ac:dyDescent="0.35">
      <c r="A497" s="15"/>
      <c r="B497" s="15"/>
      <c r="C497" s="15"/>
      <c r="D497" s="15"/>
      <c r="E497" s="15"/>
      <c r="F497" s="15"/>
      <c r="G497" s="15"/>
      <c r="H497" s="15"/>
      <c r="I497" s="15"/>
    </row>
    <row r="498" spans="1:9" x14ac:dyDescent="0.35">
      <c r="A498" s="15"/>
      <c r="B498" s="15"/>
      <c r="C498" s="15"/>
      <c r="D498" s="15"/>
      <c r="E498" s="15"/>
      <c r="F498" s="15"/>
      <c r="G498" s="15"/>
      <c r="H498" s="15"/>
      <c r="I498" s="15"/>
    </row>
    <row r="499" spans="1:9" x14ac:dyDescent="0.35">
      <c r="A499" s="15"/>
      <c r="B499" s="15"/>
      <c r="C499" s="15"/>
      <c r="D499" s="15"/>
      <c r="E499" s="15"/>
      <c r="F499" s="15"/>
      <c r="G499" s="15"/>
      <c r="H499" s="15"/>
      <c r="I499" s="15"/>
    </row>
    <row r="500" spans="1:9" x14ac:dyDescent="0.35">
      <c r="A500" s="15"/>
      <c r="B500" s="15"/>
      <c r="C500" s="15"/>
      <c r="D500" s="15"/>
      <c r="E500" s="15"/>
      <c r="F500" s="15"/>
      <c r="G500" s="15"/>
      <c r="H500" s="15"/>
      <c r="I500" s="15"/>
    </row>
    <row r="501" spans="1:9" x14ac:dyDescent="0.35">
      <c r="A501" s="15"/>
      <c r="B501" s="15"/>
      <c r="C501" s="15"/>
      <c r="D501" s="15"/>
      <c r="E501" s="15"/>
      <c r="F501" s="15"/>
      <c r="G501" s="15"/>
      <c r="H501" s="15"/>
      <c r="I501" s="15"/>
    </row>
    <row r="502" spans="1:9" x14ac:dyDescent="0.35">
      <c r="A502" s="15"/>
      <c r="B502" s="15"/>
      <c r="C502" s="15"/>
      <c r="D502" s="15"/>
      <c r="E502" s="15"/>
      <c r="F502" s="15"/>
      <c r="G502" s="15"/>
      <c r="H502" s="15"/>
      <c r="I502" s="15"/>
    </row>
    <row r="503" spans="1:9" x14ac:dyDescent="0.35">
      <c r="A503" s="15"/>
      <c r="B503" s="15"/>
      <c r="C503" s="15"/>
      <c r="D503" s="15"/>
      <c r="E503" s="15"/>
      <c r="F503" s="15"/>
      <c r="G503" s="15"/>
      <c r="H503" s="15"/>
      <c r="I503" s="15"/>
    </row>
    <row r="504" spans="1:9" x14ac:dyDescent="0.35">
      <c r="A504" s="15"/>
      <c r="B504" s="15"/>
      <c r="C504" s="15"/>
      <c r="D504" s="15"/>
      <c r="E504" s="15"/>
      <c r="F504" s="15"/>
      <c r="G504" s="15"/>
      <c r="H504" s="15"/>
      <c r="I504" s="15"/>
    </row>
  </sheetData>
  <conditionalFormatting sqref="A5:A504">
    <cfRule type="expression" dxfId="11" priority="1">
      <formula>AND(A5="",OR(B5&lt;&gt;"",C5&lt;&gt;"",D5&lt;&gt;"",E5&lt;&gt;"",F5&lt;&gt;"",G5&lt;&gt;"",H5&lt;&gt;""))</formula>
    </cfRule>
  </conditionalFormatting>
  <conditionalFormatting sqref="B5:B504">
    <cfRule type="expression" dxfId="10" priority="2">
      <formula>AND(B5&lt;&gt;"",COUNTIF($L$5:$L$7,B5)=0)</formula>
    </cfRule>
  </conditionalFormatting>
  <conditionalFormatting sqref="D5:D504">
    <cfRule type="expression" dxfId="9" priority="3">
      <formula>AND(D5&lt;&gt;"",D5&lt;&gt;"Yes",D5&lt;&gt;"No",D5&lt;&gt;"Pending")</formula>
    </cfRule>
  </conditionalFormatting>
  <conditionalFormatting sqref="E5:E504">
    <cfRule type="expression" dxfId="8" priority="4">
      <formula>AND(E5&lt;&gt;"",COUNTIF($L$9:$L$14,E5)=0)</formula>
    </cfRule>
  </conditionalFormatting>
  <conditionalFormatting sqref="F5:F504">
    <cfRule type="expression" dxfId="7" priority="5">
      <formula>AND(F5&lt;&gt;"",F5&lt;&gt;"Yes",F5&lt;&gt;"No")</formula>
    </cfRule>
  </conditionalFormatting>
  <conditionalFormatting sqref="G5:G504">
    <cfRule type="expression" dxfId="6" priority="6">
      <formula>AND(G5&lt;&gt;"",COUNTIF($L$9:$L$14,G5)=0)</formula>
    </cfRule>
  </conditionalFormatting>
  <conditionalFormatting sqref="L16">
    <cfRule type="expression" dxfId="5" priority="7">
      <formula>AND(L16&lt;&gt;"",NOT(ISNUMBER(L16)))</formula>
    </cfRule>
  </conditionalFormatting>
  <dataValidations count="6">
    <dataValidation type="list" allowBlank="1" showErrorMessage="1" error="Pick a side from the list (edit the list on the right)." sqref="B5:B504" xr:uid="{00000000-0002-0000-0500-000000000000}">
      <formula1>$L$5:$L$7</formula1>
    </dataValidation>
    <dataValidation type="list" allowBlank="1" showErrorMessage="1" error="Choose Yes, No or Pending." sqref="D5:D504" xr:uid="{00000000-0002-0000-0500-000001000000}">
      <formula1>"Yes,No,Pending"</formula1>
    </dataValidation>
    <dataValidation type="list" allowBlank="1" showErrorMessage="1" error="Pick a meal from the list (edit the list on the right)." sqref="E5:E504 G5:G504" xr:uid="{00000000-0002-0000-0500-000002000000}">
      <formula1>$L$9:$L$14</formula1>
    </dataValidation>
    <dataValidation type="list" allowBlank="1" showErrorMessage="1" error="Choose Yes or No." sqref="F5:F504" xr:uid="{00000000-0002-0000-0500-000004000000}">
      <formula1>"Yes,No"</formula1>
    </dataValidation>
    <dataValidation type="custom" allowBlank="1" showErrorMessage="1" error="Names can't contain * ? or ~ characters." sqref="L5:L14" xr:uid="{00000000-0002-0000-0500-000005000000}">
      <formula1>AND(ISERROR(FIND("*",L5)),ISERROR(FIND("?",L5)),ISERROR(FIND("~",L5)))</formula1>
    </dataValidation>
    <dataValidation type="decimal" allowBlank="1" showErrorMessage="1" errorTitle="Amount" error="Enter a number only (no $ sign or text)." sqref="L16" xr:uid="{00000000-0002-0000-0500-000006000000}">
      <formula1>0</formula1>
      <formula2>100000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A4A5A"/>
  </sheetPr>
  <dimension ref="A1:G12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2" customWidth="1"/>
    <col min="2" max="2" width="10" customWidth="1"/>
    <col min="3" max="3" width="13" customWidth="1"/>
    <col min="4" max="4" width="12" customWidth="1"/>
    <col min="5" max="5" width="8" customWidth="1"/>
    <col min="6" max="6" width="13" customWidth="1"/>
    <col min="7" max="7" width="30" customWidth="1"/>
  </cols>
  <sheetData>
    <row r="1" spans="1:7" ht="23" x14ac:dyDescent="0.5">
      <c r="A1" s="1" t="s">
        <v>169</v>
      </c>
    </row>
    <row r="2" spans="1:7" x14ac:dyDescent="0.35">
      <c r="A2" s="2" t="str">
        <f>IF(ISNUMBER(Dashboard!$C$3),"Due dates count back from your wedding date: "&amp;TEXT(Dashboard!$C$3,"mmmm d, yyyy"),"Type your wedding date on the Dashboard and the due dates fill in.")</f>
        <v>Type your wedding date on the Dashboard and the due dates fill in.</v>
      </c>
      <c r="D2" s="11" t="s">
        <v>56</v>
      </c>
      <c r="F2" s="27">
        <f>SUMPRODUCT((((Checklist!$A$5:$A$124&lt;&gt;"")+(Checklist!$B$5:$B$124&lt;&gt;"")+(Checklist!$C$5:$C$124&lt;&gt;"")+(Checklist!$E$5:$E$124&lt;&gt;""))&gt;0)*(((Checklist!$A$5:$A$124&lt;&gt;"")*(((Checklist!$B$5:$B$124="")+ISNUMBER(Checklist!$B$5:$B$124))&gt;0)*(((Checklist!$C$5:$C$124="")+ISNUMBER(Checklist!$C$5:$C$124))&gt;0)*(((Checklist!$E$5:$E$124="")+(Checklist!$E$5:$E$124="Yes"))&gt;0))=0))</f>
        <v>0</v>
      </c>
    </row>
    <row r="3" spans="1:7" x14ac:dyDescent="0.35">
      <c r="A3" s="11" t="s">
        <v>170</v>
      </c>
    </row>
    <row r="4" spans="1:7" ht="30" customHeight="1" x14ac:dyDescent="0.35">
      <c r="A4" s="14" t="s">
        <v>171</v>
      </c>
      <c r="B4" s="14" t="s">
        <v>172</v>
      </c>
      <c r="C4" s="14" t="s">
        <v>173</v>
      </c>
      <c r="D4" s="14" t="s">
        <v>174</v>
      </c>
      <c r="E4" s="14" t="s">
        <v>175</v>
      </c>
      <c r="F4" s="14" t="s">
        <v>49</v>
      </c>
      <c r="G4" s="14" t="s">
        <v>111</v>
      </c>
    </row>
    <row r="5" spans="1:7" x14ac:dyDescent="0.35">
      <c r="A5" s="15" t="s">
        <v>176</v>
      </c>
      <c r="B5" s="15">
        <v>12</v>
      </c>
      <c r="C5" s="25"/>
      <c r="D5" s="26" t="str">
        <f>IF(A5="","",IF(ISNUMBER(C5),C5,IF(AND(ISNUMBER(B5),ISNUMBER(Dashboard!$C$3)),DATE(YEAR(Dashboard!$C$3),MONTH(Dashboard!$C$3)-INT(B5),DAY(Dashboard!$C$3)-ROUND(MOD(B5,1)*28,0)),"")))</f>
        <v/>
      </c>
      <c r="E5" s="15"/>
      <c r="F5" s="32" t="str">
        <f t="shared" ref="F5:F36" ca="1" si="0">IF(A5="","",IF(E5="Yes","Done",IF(D5="","No date",IF(D5&lt;TODAY(),"OVERDUE",IF(D5-TODAY()&lt;=30,"Due soon","Upcoming")))))</f>
        <v>No date</v>
      </c>
      <c r="G5" s="15"/>
    </row>
    <row r="6" spans="1:7" x14ac:dyDescent="0.35">
      <c r="A6" s="15" t="s">
        <v>177</v>
      </c>
      <c r="B6" s="15">
        <v>12</v>
      </c>
      <c r="C6" s="25"/>
      <c r="D6" s="26" t="str">
        <f>IF(A6="","",IF(ISNUMBER(C6),C6,IF(AND(ISNUMBER(B6),ISNUMBER(Dashboard!$C$3)),DATE(YEAR(Dashboard!$C$3),MONTH(Dashboard!$C$3)-INT(B6),DAY(Dashboard!$C$3)-ROUND(MOD(B6,1)*28,0)),"")))</f>
        <v/>
      </c>
      <c r="E6" s="15"/>
      <c r="F6" s="32" t="str">
        <f t="shared" ca="1" si="0"/>
        <v>No date</v>
      </c>
      <c r="G6" s="15"/>
    </row>
    <row r="7" spans="1:7" x14ac:dyDescent="0.35">
      <c r="A7" s="15" t="s">
        <v>178</v>
      </c>
      <c r="B7" s="15">
        <v>12</v>
      </c>
      <c r="C7" s="25"/>
      <c r="D7" s="26" t="str">
        <f>IF(A7="","",IF(ISNUMBER(C7),C7,IF(AND(ISNUMBER(B7),ISNUMBER(Dashboard!$C$3)),DATE(YEAR(Dashboard!$C$3),MONTH(Dashboard!$C$3)-INT(B7),DAY(Dashboard!$C$3)-ROUND(MOD(B7,1)*28,0)),"")))</f>
        <v/>
      </c>
      <c r="E7" s="15"/>
      <c r="F7" s="32" t="str">
        <f t="shared" ca="1" si="0"/>
        <v>No date</v>
      </c>
      <c r="G7" s="15"/>
    </row>
    <row r="8" spans="1:7" x14ac:dyDescent="0.35">
      <c r="A8" s="15" t="s">
        <v>179</v>
      </c>
      <c r="B8" s="15">
        <v>12</v>
      </c>
      <c r="C8" s="25"/>
      <c r="D8" s="26" t="str">
        <f>IF(A8="","",IF(ISNUMBER(C8),C8,IF(AND(ISNUMBER(B8),ISNUMBER(Dashboard!$C$3)),DATE(YEAR(Dashboard!$C$3),MONTH(Dashboard!$C$3)-INT(B8),DAY(Dashboard!$C$3)-ROUND(MOD(B8,1)*28,0)),"")))</f>
        <v/>
      </c>
      <c r="E8" s="15"/>
      <c r="F8" s="32" t="str">
        <f t="shared" ca="1" si="0"/>
        <v>No date</v>
      </c>
      <c r="G8" s="15"/>
    </row>
    <row r="9" spans="1:7" x14ac:dyDescent="0.35">
      <c r="A9" s="15" t="s">
        <v>180</v>
      </c>
      <c r="B9" s="15">
        <v>12</v>
      </c>
      <c r="C9" s="25"/>
      <c r="D9" s="26" t="str">
        <f>IF(A9="","",IF(ISNUMBER(C9),C9,IF(AND(ISNUMBER(B9),ISNUMBER(Dashboard!$C$3)),DATE(YEAR(Dashboard!$C$3),MONTH(Dashboard!$C$3)-INT(B9),DAY(Dashboard!$C$3)-ROUND(MOD(B9,1)*28,0)),"")))</f>
        <v/>
      </c>
      <c r="E9" s="15"/>
      <c r="F9" s="32" t="str">
        <f t="shared" ca="1" si="0"/>
        <v>No date</v>
      </c>
      <c r="G9" s="15"/>
    </row>
    <row r="10" spans="1:7" x14ac:dyDescent="0.35">
      <c r="A10" s="15" t="s">
        <v>181</v>
      </c>
      <c r="B10" s="15">
        <v>12</v>
      </c>
      <c r="C10" s="25"/>
      <c r="D10" s="26" t="str">
        <f>IF(A10="","",IF(ISNUMBER(C10),C10,IF(AND(ISNUMBER(B10),ISNUMBER(Dashboard!$C$3)),DATE(YEAR(Dashboard!$C$3),MONTH(Dashboard!$C$3)-INT(B10),DAY(Dashboard!$C$3)-ROUND(MOD(B10,1)*28,0)),"")))</f>
        <v/>
      </c>
      <c r="E10" s="15"/>
      <c r="F10" s="32" t="str">
        <f t="shared" ca="1" si="0"/>
        <v>No date</v>
      </c>
      <c r="G10" s="15"/>
    </row>
    <row r="11" spans="1:7" x14ac:dyDescent="0.35">
      <c r="A11" s="15" t="s">
        <v>182</v>
      </c>
      <c r="B11" s="15">
        <v>10</v>
      </c>
      <c r="C11" s="25"/>
      <c r="D11" s="26" t="str">
        <f>IF(A11="","",IF(ISNUMBER(C11),C11,IF(AND(ISNUMBER(B11),ISNUMBER(Dashboard!$C$3)),DATE(YEAR(Dashboard!$C$3),MONTH(Dashboard!$C$3)-INT(B11),DAY(Dashboard!$C$3)-ROUND(MOD(B11,1)*28,0)),"")))</f>
        <v/>
      </c>
      <c r="E11" s="15"/>
      <c r="F11" s="32" t="str">
        <f t="shared" ca="1" si="0"/>
        <v>No date</v>
      </c>
      <c r="G11" s="15"/>
    </row>
    <row r="12" spans="1:7" x14ac:dyDescent="0.35">
      <c r="A12" s="15" t="s">
        <v>183</v>
      </c>
      <c r="B12" s="15">
        <v>10</v>
      </c>
      <c r="C12" s="25"/>
      <c r="D12" s="26" t="str">
        <f>IF(A12="","",IF(ISNUMBER(C12),C12,IF(AND(ISNUMBER(B12),ISNUMBER(Dashboard!$C$3)),DATE(YEAR(Dashboard!$C$3),MONTH(Dashboard!$C$3)-INT(B12),DAY(Dashboard!$C$3)-ROUND(MOD(B12,1)*28,0)),"")))</f>
        <v/>
      </c>
      <c r="E12" s="15"/>
      <c r="F12" s="32" t="str">
        <f t="shared" ca="1" si="0"/>
        <v>No date</v>
      </c>
      <c r="G12" s="15"/>
    </row>
    <row r="13" spans="1:7" x14ac:dyDescent="0.35">
      <c r="A13" s="15" t="s">
        <v>184</v>
      </c>
      <c r="B13" s="15">
        <v>10</v>
      </c>
      <c r="C13" s="25"/>
      <c r="D13" s="26" t="str">
        <f>IF(A13="","",IF(ISNUMBER(C13),C13,IF(AND(ISNUMBER(B13),ISNUMBER(Dashboard!$C$3)),DATE(YEAR(Dashboard!$C$3),MONTH(Dashboard!$C$3)-INT(B13),DAY(Dashboard!$C$3)-ROUND(MOD(B13,1)*28,0)),"")))</f>
        <v/>
      </c>
      <c r="E13" s="15"/>
      <c r="F13" s="32" t="str">
        <f t="shared" ca="1" si="0"/>
        <v>No date</v>
      </c>
      <c r="G13" s="15"/>
    </row>
    <row r="14" spans="1:7" x14ac:dyDescent="0.35">
      <c r="A14" s="15" t="s">
        <v>185</v>
      </c>
      <c r="B14" s="15">
        <v>10</v>
      </c>
      <c r="C14" s="25"/>
      <c r="D14" s="26" t="str">
        <f>IF(A14="","",IF(ISNUMBER(C14),C14,IF(AND(ISNUMBER(B14),ISNUMBER(Dashboard!$C$3)),DATE(YEAR(Dashboard!$C$3),MONTH(Dashboard!$C$3)-INT(B14),DAY(Dashboard!$C$3)-ROUND(MOD(B14,1)*28,0)),"")))</f>
        <v/>
      </c>
      <c r="E14" s="15"/>
      <c r="F14" s="32" t="str">
        <f t="shared" ca="1" si="0"/>
        <v>No date</v>
      </c>
      <c r="G14" s="15"/>
    </row>
    <row r="15" spans="1:7" x14ac:dyDescent="0.35">
      <c r="A15" s="15" t="s">
        <v>186</v>
      </c>
      <c r="B15" s="15">
        <v>10</v>
      </c>
      <c r="C15" s="25"/>
      <c r="D15" s="26" t="str">
        <f>IF(A15="","",IF(ISNUMBER(C15),C15,IF(AND(ISNUMBER(B15),ISNUMBER(Dashboard!$C$3)),DATE(YEAR(Dashboard!$C$3),MONTH(Dashboard!$C$3)-INT(B15),DAY(Dashboard!$C$3)-ROUND(MOD(B15,1)*28,0)),"")))</f>
        <v/>
      </c>
      <c r="E15" s="15"/>
      <c r="F15" s="32" t="str">
        <f t="shared" ca="1" si="0"/>
        <v>No date</v>
      </c>
      <c r="G15" s="15"/>
    </row>
    <row r="16" spans="1:7" x14ac:dyDescent="0.35">
      <c r="A16" s="15" t="s">
        <v>187</v>
      </c>
      <c r="B16" s="15">
        <v>9</v>
      </c>
      <c r="C16" s="25"/>
      <c r="D16" s="26" t="str">
        <f>IF(A16="","",IF(ISNUMBER(C16),C16,IF(AND(ISNUMBER(B16),ISNUMBER(Dashboard!$C$3)),DATE(YEAR(Dashboard!$C$3),MONTH(Dashboard!$C$3)-INT(B16),DAY(Dashboard!$C$3)-ROUND(MOD(B16,1)*28,0)),"")))</f>
        <v/>
      </c>
      <c r="E16" s="15"/>
      <c r="F16" s="32" t="str">
        <f t="shared" ca="1" si="0"/>
        <v>No date</v>
      </c>
      <c r="G16" s="15"/>
    </row>
    <row r="17" spans="1:7" x14ac:dyDescent="0.35">
      <c r="A17" s="15" t="s">
        <v>188</v>
      </c>
      <c r="B17" s="15">
        <v>9</v>
      </c>
      <c r="C17" s="25"/>
      <c r="D17" s="26" t="str">
        <f>IF(A17="","",IF(ISNUMBER(C17),C17,IF(AND(ISNUMBER(B17),ISNUMBER(Dashboard!$C$3)),DATE(YEAR(Dashboard!$C$3),MONTH(Dashboard!$C$3)-INT(B17),DAY(Dashboard!$C$3)-ROUND(MOD(B17,1)*28,0)),"")))</f>
        <v/>
      </c>
      <c r="E17" s="15"/>
      <c r="F17" s="32" t="str">
        <f t="shared" ca="1" si="0"/>
        <v>No date</v>
      </c>
      <c r="G17" s="15"/>
    </row>
    <row r="18" spans="1:7" x14ac:dyDescent="0.35">
      <c r="A18" s="15" t="s">
        <v>189</v>
      </c>
      <c r="B18" s="15">
        <v>9</v>
      </c>
      <c r="C18" s="25"/>
      <c r="D18" s="26" t="str">
        <f>IF(A18="","",IF(ISNUMBER(C18),C18,IF(AND(ISNUMBER(B18),ISNUMBER(Dashboard!$C$3)),DATE(YEAR(Dashboard!$C$3),MONTH(Dashboard!$C$3)-INT(B18),DAY(Dashboard!$C$3)-ROUND(MOD(B18,1)*28,0)),"")))</f>
        <v/>
      </c>
      <c r="E18" s="15"/>
      <c r="F18" s="32" t="str">
        <f t="shared" ca="1" si="0"/>
        <v>No date</v>
      </c>
      <c r="G18" s="15"/>
    </row>
    <row r="19" spans="1:7" x14ac:dyDescent="0.35">
      <c r="A19" s="15" t="s">
        <v>190</v>
      </c>
      <c r="B19" s="15">
        <v>9</v>
      </c>
      <c r="C19" s="25"/>
      <c r="D19" s="26" t="str">
        <f>IF(A19="","",IF(ISNUMBER(C19),C19,IF(AND(ISNUMBER(B19),ISNUMBER(Dashboard!$C$3)),DATE(YEAR(Dashboard!$C$3),MONTH(Dashboard!$C$3)-INT(B19),DAY(Dashboard!$C$3)-ROUND(MOD(B19,1)*28,0)),"")))</f>
        <v/>
      </c>
      <c r="E19" s="15"/>
      <c r="F19" s="32" t="str">
        <f t="shared" ca="1" si="0"/>
        <v>No date</v>
      </c>
      <c r="G19" s="15"/>
    </row>
    <row r="20" spans="1:7" x14ac:dyDescent="0.35">
      <c r="A20" s="15" t="s">
        <v>191</v>
      </c>
      <c r="B20" s="15">
        <v>8</v>
      </c>
      <c r="C20" s="25"/>
      <c r="D20" s="26" t="str">
        <f>IF(A20="","",IF(ISNUMBER(C20),C20,IF(AND(ISNUMBER(B20),ISNUMBER(Dashboard!$C$3)),DATE(YEAR(Dashboard!$C$3),MONTH(Dashboard!$C$3)-INT(B20),DAY(Dashboard!$C$3)-ROUND(MOD(B20,1)*28,0)),"")))</f>
        <v/>
      </c>
      <c r="E20" s="15"/>
      <c r="F20" s="32" t="str">
        <f t="shared" ca="1" si="0"/>
        <v>No date</v>
      </c>
      <c r="G20" s="15"/>
    </row>
    <row r="21" spans="1:7" x14ac:dyDescent="0.35">
      <c r="A21" s="15" t="s">
        <v>192</v>
      </c>
      <c r="B21" s="15">
        <v>8</v>
      </c>
      <c r="C21" s="25"/>
      <c r="D21" s="26" t="str">
        <f>IF(A21="","",IF(ISNUMBER(C21),C21,IF(AND(ISNUMBER(B21),ISNUMBER(Dashboard!$C$3)),DATE(YEAR(Dashboard!$C$3),MONTH(Dashboard!$C$3)-INT(B21),DAY(Dashboard!$C$3)-ROUND(MOD(B21,1)*28,0)),"")))</f>
        <v/>
      </c>
      <c r="E21" s="15"/>
      <c r="F21" s="32" t="str">
        <f t="shared" ca="1" si="0"/>
        <v>No date</v>
      </c>
      <c r="G21" s="15"/>
    </row>
    <row r="22" spans="1:7" x14ac:dyDescent="0.35">
      <c r="A22" s="15" t="s">
        <v>193</v>
      </c>
      <c r="B22" s="15">
        <v>8</v>
      </c>
      <c r="C22" s="25"/>
      <c r="D22" s="26" t="str">
        <f>IF(A22="","",IF(ISNUMBER(C22),C22,IF(AND(ISNUMBER(B22),ISNUMBER(Dashboard!$C$3)),DATE(YEAR(Dashboard!$C$3),MONTH(Dashboard!$C$3)-INT(B22),DAY(Dashboard!$C$3)-ROUND(MOD(B22,1)*28,0)),"")))</f>
        <v/>
      </c>
      <c r="E22" s="15"/>
      <c r="F22" s="32" t="str">
        <f t="shared" ca="1" si="0"/>
        <v>No date</v>
      </c>
      <c r="G22" s="15"/>
    </row>
    <row r="23" spans="1:7" x14ac:dyDescent="0.35">
      <c r="A23" s="15" t="s">
        <v>194</v>
      </c>
      <c r="B23" s="15">
        <v>6</v>
      </c>
      <c r="C23" s="25"/>
      <c r="D23" s="26" t="str">
        <f>IF(A23="","",IF(ISNUMBER(C23),C23,IF(AND(ISNUMBER(B23),ISNUMBER(Dashboard!$C$3)),DATE(YEAR(Dashboard!$C$3),MONTH(Dashboard!$C$3)-INT(B23),DAY(Dashboard!$C$3)-ROUND(MOD(B23,1)*28,0)),"")))</f>
        <v/>
      </c>
      <c r="E23" s="15"/>
      <c r="F23" s="32" t="str">
        <f t="shared" ca="1" si="0"/>
        <v>No date</v>
      </c>
      <c r="G23" s="15"/>
    </row>
    <row r="24" spans="1:7" x14ac:dyDescent="0.35">
      <c r="A24" s="15" t="s">
        <v>195</v>
      </c>
      <c r="B24" s="15">
        <v>6</v>
      </c>
      <c r="C24" s="25"/>
      <c r="D24" s="26" t="str">
        <f>IF(A24="","",IF(ISNUMBER(C24),C24,IF(AND(ISNUMBER(B24),ISNUMBER(Dashboard!$C$3)),DATE(YEAR(Dashboard!$C$3),MONTH(Dashboard!$C$3)-INT(B24),DAY(Dashboard!$C$3)-ROUND(MOD(B24,1)*28,0)),"")))</f>
        <v/>
      </c>
      <c r="E24" s="15"/>
      <c r="F24" s="32" t="str">
        <f t="shared" ca="1" si="0"/>
        <v>No date</v>
      </c>
      <c r="G24" s="15"/>
    </row>
    <row r="25" spans="1:7" x14ac:dyDescent="0.35">
      <c r="A25" s="15" t="s">
        <v>196</v>
      </c>
      <c r="B25" s="15">
        <v>6</v>
      </c>
      <c r="C25" s="25"/>
      <c r="D25" s="26" t="str">
        <f>IF(A25="","",IF(ISNUMBER(C25),C25,IF(AND(ISNUMBER(B25),ISNUMBER(Dashboard!$C$3)),DATE(YEAR(Dashboard!$C$3),MONTH(Dashboard!$C$3)-INT(B25),DAY(Dashboard!$C$3)-ROUND(MOD(B25,1)*28,0)),"")))</f>
        <v/>
      </c>
      <c r="E25" s="15"/>
      <c r="F25" s="32" t="str">
        <f t="shared" ca="1" si="0"/>
        <v>No date</v>
      </c>
      <c r="G25" s="15"/>
    </row>
    <row r="26" spans="1:7" x14ac:dyDescent="0.35">
      <c r="A26" s="15" t="s">
        <v>197</v>
      </c>
      <c r="B26" s="15">
        <v>6</v>
      </c>
      <c r="C26" s="25"/>
      <c r="D26" s="26" t="str">
        <f>IF(A26="","",IF(ISNUMBER(C26),C26,IF(AND(ISNUMBER(B26),ISNUMBER(Dashboard!$C$3)),DATE(YEAR(Dashboard!$C$3),MONTH(Dashboard!$C$3)-INT(B26),DAY(Dashboard!$C$3)-ROUND(MOD(B26,1)*28,0)),"")))</f>
        <v/>
      </c>
      <c r="E26" s="15"/>
      <c r="F26" s="32" t="str">
        <f t="shared" ca="1" si="0"/>
        <v>No date</v>
      </c>
      <c r="G26" s="15"/>
    </row>
    <row r="27" spans="1:7" x14ac:dyDescent="0.35">
      <c r="A27" s="15" t="s">
        <v>198</v>
      </c>
      <c r="B27" s="15">
        <v>6</v>
      </c>
      <c r="C27" s="25"/>
      <c r="D27" s="26" t="str">
        <f>IF(A27="","",IF(ISNUMBER(C27),C27,IF(AND(ISNUMBER(B27),ISNUMBER(Dashboard!$C$3)),DATE(YEAR(Dashboard!$C$3),MONTH(Dashboard!$C$3)-INT(B27),DAY(Dashboard!$C$3)-ROUND(MOD(B27,1)*28,0)),"")))</f>
        <v/>
      </c>
      <c r="E27" s="15"/>
      <c r="F27" s="32" t="str">
        <f t="shared" ca="1" si="0"/>
        <v>No date</v>
      </c>
      <c r="G27" s="15"/>
    </row>
    <row r="28" spans="1:7" x14ac:dyDescent="0.35">
      <c r="A28" s="15" t="s">
        <v>199</v>
      </c>
      <c r="B28" s="15">
        <v>5</v>
      </c>
      <c r="C28" s="25"/>
      <c r="D28" s="26" t="str">
        <f>IF(A28="","",IF(ISNUMBER(C28),C28,IF(AND(ISNUMBER(B28),ISNUMBER(Dashboard!$C$3)),DATE(YEAR(Dashboard!$C$3),MONTH(Dashboard!$C$3)-INT(B28),DAY(Dashboard!$C$3)-ROUND(MOD(B28,1)*28,0)),"")))</f>
        <v/>
      </c>
      <c r="E28" s="15"/>
      <c r="F28" s="32" t="str">
        <f t="shared" ca="1" si="0"/>
        <v>No date</v>
      </c>
      <c r="G28" s="15"/>
    </row>
    <row r="29" spans="1:7" x14ac:dyDescent="0.35">
      <c r="A29" s="15" t="s">
        <v>200</v>
      </c>
      <c r="B29" s="15">
        <v>4</v>
      </c>
      <c r="C29" s="25"/>
      <c r="D29" s="26" t="str">
        <f>IF(A29="","",IF(ISNUMBER(C29),C29,IF(AND(ISNUMBER(B29),ISNUMBER(Dashboard!$C$3)),DATE(YEAR(Dashboard!$C$3),MONTH(Dashboard!$C$3)-INT(B29),DAY(Dashboard!$C$3)-ROUND(MOD(B29,1)*28,0)),"")))</f>
        <v/>
      </c>
      <c r="E29" s="15"/>
      <c r="F29" s="32" t="str">
        <f t="shared" ca="1" si="0"/>
        <v>No date</v>
      </c>
      <c r="G29" s="15"/>
    </row>
    <row r="30" spans="1:7" x14ac:dyDescent="0.35">
      <c r="A30" s="15" t="s">
        <v>201</v>
      </c>
      <c r="B30" s="15">
        <v>4</v>
      </c>
      <c r="C30" s="25"/>
      <c r="D30" s="26" t="str">
        <f>IF(A30="","",IF(ISNUMBER(C30),C30,IF(AND(ISNUMBER(B30),ISNUMBER(Dashboard!$C$3)),DATE(YEAR(Dashboard!$C$3),MONTH(Dashboard!$C$3)-INT(B30),DAY(Dashboard!$C$3)-ROUND(MOD(B30,1)*28,0)),"")))</f>
        <v/>
      </c>
      <c r="E30" s="15"/>
      <c r="F30" s="32" t="str">
        <f t="shared" ca="1" si="0"/>
        <v>No date</v>
      </c>
      <c r="G30" s="15"/>
    </row>
    <row r="31" spans="1:7" x14ac:dyDescent="0.35">
      <c r="A31" s="15" t="s">
        <v>202</v>
      </c>
      <c r="B31" s="15">
        <v>4</v>
      </c>
      <c r="C31" s="25"/>
      <c r="D31" s="26" t="str">
        <f>IF(A31="","",IF(ISNUMBER(C31),C31,IF(AND(ISNUMBER(B31),ISNUMBER(Dashboard!$C$3)),DATE(YEAR(Dashboard!$C$3),MONTH(Dashboard!$C$3)-INT(B31),DAY(Dashboard!$C$3)-ROUND(MOD(B31,1)*28,0)),"")))</f>
        <v/>
      </c>
      <c r="E31" s="15"/>
      <c r="F31" s="32" t="str">
        <f t="shared" ca="1" si="0"/>
        <v>No date</v>
      </c>
      <c r="G31" s="15"/>
    </row>
    <row r="32" spans="1:7" x14ac:dyDescent="0.35">
      <c r="A32" s="15" t="s">
        <v>203</v>
      </c>
      <c r="B32" s="15">
        <v>4</v>
      </c>
      <c r="C32" s="25"/>
      <c r="D32" s="26" t="str">
        <f>IF(A32="","",IF(ISNUMBER(C32),C32,IF(AND(ISNUMBER(B32),ISNUMBER(Dashboard!$C$3)),DATE(YEAR(Dashboard!$C$3),MONTH(Dashboard!$C$3)-INT(B32),DAY(Dashboard!$C$3)-ROUND(MOD(B32,1)*28,0)),"")))</f>
        <v/>
      </c>
      <c r="E32" s="15"/>
      <c r="F32" s="32" t="str">
        <f t="shared" ca="1" si="0"/>
        <v>No date</v>
      </c>
      <c r="G32" s="15"/>
    </row>
    <row r="33" spans="1:7" x14ac:dyDescent="0.35">
      <c r="A33" s="15" t="s">
        <v>204</v>
      </c>
      <c r="B33" s="15">
        <v>3</v>
      </c>
      <c r="C33" s="25"/>
      <c r="D33" s="26" t="str">
        <f>IF(A33="","",IF(ISNUMBER(C33),C33,IF(AND(ISNUMBER(B33),ISNUMBER(Dashboard!$C$3)),DATE(YEAR(Dashboard!$C$3),MONTH(Dashboard!$C$3)-INT(B33),DAY(Dashboard!$C$3)-ROUND(MOD(B33,1)*28,0)),"")))</f>
        <v/>
      </c>
      <c r="E33" s="15"/>
      <c r="F33" s="32" t="str">
        <f t="shared" ca="1" si="0"/>
        <v>No date</v>
      </c>
      <c r="G33" s="15"/>
    </row>
    <row r="34" spans="1:7" x14ac:dyDescent="0.35">
      <c r="A34" s="15" t="s">
        <v>205</v>
      </c>
      <c r="B34" s="15">
        <v>3</v>
      </c>
      <c r="C34" s="25"/>
      <c r="D34" s="26" t="str">
        <f>IF(A34="","",IF(ISNUMBER(C34),C34,IF(AND(ISNUMBER(B34),ISNUMBER(Dashboard!$C$3)),DATE(YEAR(Dashboard!$C$3),MONTH(Dashboard!$C$3)-INT(B34),DAY(Dashboard!$C$3)-ROUND(MOD(B34,1)*28,0)),"")))</f>
        <v/>
      </c>
      <c r="E34" s="15"/>
      <c r="F34" s="32" t="str">
        <f t="shared" ca="1" si="0"/>
        <v>No date</v>
      </c>
      <c r="G34" s="15"/>
    </row>
    <row r="35" spans="1:7" x14ac:dyDescent="0.35">
      <c r="A35" s="15" t="s">
        <v>206</v>
      </c>
      <c r="B35" s="15">
        <v>3</v>
      </c>
      <c r="C35" s="25"/>
      <c r="D35" s="26" t="str">
        <f>IF(A35="","",IF(ISNUMBER(C35),C35,IF(AND(ISNUMBER(B35),ISNUMBER(Dashboard!$C$3)),DATE(YEAR(Dashboard!$C$3),MONTH(Dashboard!$C$3)-INT(B35),DAY(Dashboard!$C$3)-ROUND(MOD(B35,1)*28,0)),"")))</f>
        <v/>
      </c>
      <c r="E35" s="15"/>
      <c r="F35" s="32" t="str">
        <f t="shared" ca="1" si="0"/>
        <v>No date</v>
      </c>
      <c r="G35" s="15"/>
    </row>
    <row r="36" spans="1:7" x14ac:dyDescent="0.35">
      <c r="A36" s="15" t="s">
        <v>207</v>
      </c>
      <c r="B36" s="15">
        <v>2</v>
      </c>
      <c r="C36" s="25"/>
      <c r="D36" s="26" t="str">
        <f>IF(A36="","",IF(ISNUMBER(C36),C36,IF(AND(ISNUMBER(B36),ISNUMBER(Dashboard!$C$3)),DATE(YEAR(Dashboard!$C$3),MONTH(Dashboard!$C$3)-INT(B36),DAY(Dashboard!$C$3)-ROUND(MOD(B36,1)*28,0)),"")))</f>
        <v/>
      </c>
      <c r="E36" s="15"/>
      <c r="F36" s="32" t="str">
        <f t="shared" ca="1" si="0"/>
        <v>No date</v>
      </c>
      <c r="G36" s="15"/>
    </row>
    <row r="37" spans="1:7" x14ac:dyDescent="0.35">
      <c r="A37" s="15" t="s">
        <v>208</v>
      </c>
      <c r="B37" s="15">
        <v>2</v>
      </c>
      <c r="C37" s="25"/>
      <c r="D37" s="26" t="str">
        <f>IF(A37="","",IF(ISNUMBER(C37),C37,IF(AND(ISNUMBER(B37),ISNUMBER(Dashboard!$C$3)),DATE(YEAR(Dashboard!$C$3),MONTH(Dashboard!$C$3)-INT(B37),DAY(Dashboard!$C$3)-ROUND(MOD(B37,1)*28,0)),"")))</f>
        <v/>
      </c>
      <c r="E37" s="15"/>
      <c r="F37" s="32" t="str">
        <f t="shared" ref="F37:F68" ca="1" si="1">IF(A37="","",IF(E37="Yes","Done",IF(D37="","No date",IF(D37&lt;TODAY(),"OVERDUE",IF(D37-TODAY()&lt;=30,"Due soon","Upcoming")))))</f>
        <v>No date</v>
      </c>
      <c r="G37" s="15"/>
    </row>
    <row r="38" spans="1:7" x14ac:dyDescent="0.35">
      <c r="A38" s="15" t="s">
        <v>209</v>
      </c>
      <c r="B38" s="15">
        <v>2</v>
      </c>
      <c r="C38" s="25"/>
      <c r="D38" s="26" t="str">
        <f>IF(A38="","",IF(ISNUMBER(C38),C38,IF(AND(ISNUMBER(B38),ISNUMBER(Dashboard!$C$3)),DATE(YEAR(Dashboard!$C$3),MONTH(Dashboard!$C$3)-INT(B38),DAY(Dashboard!$C$3)-ROUND(MOD(B38,1)*28,0)),"")))</f>
        <v/>
      </c>
      <c r="E38" s="15"/>
      <c r="F38" s="32" t="str">
        <f t="shared" ca="1" si="1"/>
        <v>No date</v>
      </c>
      <c r="G38" s="15"/>
    </row>
    <row r="39" spans="1:7" x14ac:dyDescent="0.35">
      <c r="A39" s="15" t="s">
        <v>210</v>
      </c>
      <c r="B39" s="15">
        <v>1</v>
      </c>
      <c r="C39" s="25"/>
      <c r="D39" s="26" t="str">
        <f>IF(A39="","",IF(ISNUMBER(C39),C39,IF(AND(ISNUMBER(B39),ISNUMBER(Dashboard!$C$3)),DATE(YEAR(Dashboard!$C$3),MONTH(Dashboard!$C$3)-INT(B39),DAY(Dashboard!$C$3)-ROUND(MOD(B39,1)*28,0)),"")))</f>
        <v/>
      </c>
      <c r="E39" s="15"/>
      <c r="F39" s="32" t="str">
        <f t="shared" ca="1" si="1"/>
        <v>No date</v>
      </c>
      <c r="G39" s="15"/>
    </row>
    <row r="40" spans="1:7" x14ac:dyDescent="0.35">
      <c r="A40" s="15" t="s">
        <v>211</v>
      </c>
      <c r="B40" s="15">
        <v>1</v>
      </c>
      <c r="C40" s="25"/>
      <c r="D40" s="26" t="str">
        <f>IF(A40="","",IF(ISNUMBER(C40),C40,IF(AND(ISNUMBER(B40),ISNUMBER(Dashboard!$C$3)),DATE(YEAR(Dashboard!$C$3),MONTH(Dashboard!$C$3)-INT(B40),DAY(Dashboard!$C$3)-ROUND(MOD(B40,1)*28,0)),"")))</f>
        <v/>
      </c>
      <c r="E40" s="15"/>
      <c r="F40" s="32" t="str">
        <f t="shared" ca="1" si="1"/>
        <v>No date</v>
      </c>
      <c r="G40" s="15"/>
    </row>
    <row r="41" spans="1:7" x14ac:dyDescent="0.35">
      <c r="A41" s="15" t="s">
        <v>212</v>
      </c>
      <c r="B41" s="15">
        <v>1</v>
      </c>
      <c r="C41" s="25"/>
      <c r="D41" s="26" t="str">
        <f>IF(A41="","",IF(ISNUMBER(C41),C41,IF(AND(ISNUMBER(B41),ISNUMBER(Dashboard!$C$3)),DATE(YEAR(Dashboard!$C$3),MONTH(Dashboard!$C$3)-INT(B41),DAY(Dashboard!$C$3)-ROUND(MOD(B41,1)*28,0)),"")))</f>
        <v/>
      </c>
      <c r="E41" s="15"/>
      <c r="F41" s="32" t="str">
        <f t="shared" ca="1" si="1"/>
        <v>No date</v>
      </c>
      <c r="G41" s="15"/>
    </row>
    <row r="42" spans="1:7" x14ac:dyDescent="0.35">
      <c r="A42" s="15" t="s">
        <v>213</v>
      </c>
      <c r="B42" s="15">
        <v>1</v>
      </c>
      <c r="C42" s="25"/>
      <c r="D42" s="26" t="str">
        <f>IF(A42="","",IF(ISNUMBER(C42),C42,IF(AND(ISNUMBER(B42),ISNUMBER(Dashboard!$C$3)),DATE(YEAR(Dashboard!$C$3),MONTH(Dashboard!$C$3)-INT(B42),DAY(Dashboard!$C$3)-ROUND(MOD(B42,1)*28,0)),"")))</f>
        <v/>
      </c>
      <c r="E42" s="15"/>
      <c r="F42" s="32" t="str">
        <f t="shared" ca="1" si="1"/>
        <v>No date</v>
      </c>
      <c r="G42" s="15"/>
    </row>
    <row r="43" spans="1:7" x14ac:dyDescent="0.35">
      <c r="A43" s="15" t="s">
        <v>214</v>
      </c>
      <c r="B43" s="15">
        <v>1</v>
      </c>
      <c r="C43" s="25"/>
      <c r="D43" s="26" t="str">
        <f>IF(A43="","",IF(ISNUMBER(C43),C43,IF(AND(ISNUMBER(B43),ISNUMBER(Dashboard!$C$3)),DATE(YEAR(Dashboard!$C$3),MONTH(Dashboard!$C$3)-INT(B43),DAY(Dashboard!$C$3)-ROUND(MOD(B43,1)*28,0)),"")))</f>
        <v/>
      </c>
      <c r="E43" s="15"/>
      <c r="F43" s="32" t="str">
        <f t="shared" ca="1" si="1"/>
        <v>No date</v>
      </c>
      <c r="G43" s="15"/>
    </row>
    <row r="44" spans="1:7" x14ac:dyDescent="0.35">
      <c r="A44" s="15" t="s">
        <v>215</v>
      </c>
      <c r="B44" s="15">
        <v>1</v>
      </c>
      <c r="C44" s="25"/>
      <c r="D44" s="26" t="str">
        <f>IF(A44="","",IF(ISNUMBER(C44),C44,IF(AND(ISNUMBER(B44),ISNUMBER(Dashboard!$C$3)),DATE(YEAR(Dashboard!$C$3),MONTH(Dashboard!$C$3)-INT(B44),DAY(Dashboard!$C$3)-ROUND(MOD(B44,1)*28,0)),"")))</f>
        <v/>
      </c>
      <c r="E44" s="15"/>
      <c r="F44" s="32" t="str">
        <f t="shared" ca="1" si="1"/>
        <v>No date</v>
      </c>
      <c r="G44" s="15"/>
    </row>
    <row r="45" spans="1:7" x14ac:dyDescent="0.35">
      <c r="A45" s="15" t="s">
        <v>216</v>
      </c>
      <c r="B45" s="15">
        <v>0.5</v>
      </c>
      <c r="C45" s="25"/>
      <c r="D45" s="26" t="str">
        <f>IF(A45="","",IF(ISNUMBER(C45),C45,IF(AND(ISNUMBER(B45),ISNUMBER(Dashboard!$C$3)),DATE(YEAR(Dashboard!$C$3),MONTH(Dashboard!$C$3)-INT(B45),DAY(Dashboard!$C$3)-ROUND(MOD(B45,1)*28,0)),"")))</f>
        <v/>
      </c>
      <c r="E45" s="15"/>
      <c r="F45" s="32" t="str">
        <f t="shared" ca="1" si="1"/>
        <v>No date</v>
      </c>
      <c r="G45" s="15"/>
    </row>
    <row r="46" spans="1:7" x14ac:dyDescent="0.35">
      <c r="A46" s="15" t="s">
        <v>217</v>
      </c>
      <c r="B46" s="15">
        <v>0.5</v>
      </c>
      <c r="C46" s="25"/>
      <c r="D46" s="26" t="str">
        <f>IF(A46="","",IF(ISNUMBER(C46),C46,IF(AND(ISNUMBER(B46),ISNUMBER(Dashboard!$C$3)),DATE(YEAR(Dashboard!$C$3),MONTH(Dashboard!$C$3)-INT(B46),DAY(Dashboard!$C$3)-ROUND(MOD(B46,1)*28,0)),"")))</f>
        <v/>
      </c>
      <c r="E46" s="15"/>
      <c r="F46" s="32" t="str">
        <f t="shared" ca="1" si="1"/>
        <v>No date</v>
      </c>
      <c r="G46" s="15"/>
    </row>
    <row r="47" spans="1:7" x14ac:dyDescent="0.35">
      <c r="A47" s="15" t="s">
        <v>218</v>
      </c>
      <c r="B47" s="15">
        <v>0.5</v>
      </c>
      <c r="C47" s="25"/>
      <c r="D47" s="26" t="str">
        <f>IF(A47="","",IF(ISNUMBER(C47),C47,IF(AND(ISNUMBER(B47),ISNUMBER(Dashboard!$C$3)),DATE(YEAR(Dashboard!$C$3),MONTH(Dashboard!$C$3)-INT(B47),DAY(Dashboard!$C$3)-ROUND(MOD(B47,1)*28,0)),"")))</f>
        <v/>
      </c>
      <c r="E47" s="15"/>
      <c r="F47" s="32" t="str">
        <f t="shared" ca="1" si="1"/>
        <v>No date</v>
      </c>
      <c r="G47" s="15"/>
    </row>
    <row r="48" spans="1:7" x14ac:dyDescent="0.35">
      <c r="A48" s="15" t="s">
        <v>219</v>
      </c>
      <c r="B48" s="15">
        <v>0.25</v>
      </c>
      <c r="C48" s="25"/>
      <c r="D48" s="26" t="str">
        <f>IF(A48="","",IF(ISNUMBER(C48),C48,IF(AND(ISNUMBER(B48),ISNUMBER(Dashboard!$C$3)),DATE(YEAR(Dashboard!$C$3),MONTH(Dashboard!$C$3)-INT(B48),DAY(Dashboard!$C$3)-ROUND(MOD(B48,1)*28,0)),"")))</f>
        <v/>
      </c>
      <c r="E48" s="15"/>
      <c r="F48" s="32" t="str">
        <f t="shared" ca="1" si="1"/>
        <v>No date</v>
      </c>
      <c r="G48" s="15"/>
    </row>
    <row r="49" spans="1:7" x14ac:dyDescent="0.35">
      <c r="A49" s="15" t="s">
        <v>220</v>
      </c>
      <c r="B49" s="15">
        <v>0.25</v>
      </c>
      <c r="C49" s="25"/>
      <c r="D49" s="26" t="str">
        <f>IF(A49="","",IF(ISNUMBER(C49),C49,IF(AND(ISNUMBER(B49),ISNUMBER(Dashboard!$C$3)),DATE(YEAR(Dashboard!$C$3),MONTH(Dashboard!$C$3)-INT(B49),DAY(Dashboard!$C$3)-ROUND(MOD(B49,1)*28,0)),"")))</f>
        <v/>
      </c>
      <c r="E49" s="15"/>
      <c r="F49" s="32" t="str">
        <f t="shared" ca="1" si="1"/>
        <v>No date</v>
      </c>
      <c r="G49" s="15"/>
    </row>
    <row r="50" spans="1:7" x14ac:dyDescent="0.35">
      <c r="A50" s="15" t="s">
        <v>221</v>
      </c>
      <c r="B50" s="15">
        <v>0</v>
      </c>
      <c r="C50" s="25"/>
      <c r="D50" s="26" t="str">
        <f>IF(A50="","",IF(ISNUMBER(C50),C50,IF(AND(ISNUMBER(B50),ISNUMBER(Dashboard!$C$3)),DATE(YEAR(Dashboard!$C$3),MONTH(Dashboard!$C$3)-INT(B50),DAY(Dashboard!$C$3)-ROUND(MOD(B50,1)*28,0)),"")))</f>
        <v/>
      </c>
      <c r="E50" s="15"/>
      <c r="F50" s="32" t="str">
        <f t="shared" ca="1" si="1"/>
        <v>No date</v>
      </c>
      <c r="G50" s="15"/>
    </row>
    <row r="51" spans="1:7" x14ac:dyDescent="0.35">
      <c r="A51" s="15" t="s">
        <v>222</v>
      </c>
      <c r="B51" s="15">
        <v>-0.5</v>
      </c>
      <c r="C51" s="25"/>
      <c r="D51" s="26" t="str">
        <f>IF(A51="","",IF(ISNUMBER(C51),C51,IF(AND(ISNUMBER(B51),ISNUMBER(Dashboard!$C$3)),DATE(YEAR(Dashboard!$C$3),MONTH(Dashboard!$C$3)-INT(B51),DAY(Dashboard!$C$3)-ROUND(MOD(B51,1)*28,0)),"")))</f>
        <v/>
      </c>
      <c r="E51" s="15"/>
      <c r="F51" s="32" t="str">
        <f t="shared" ca="1" si="1"/>
        <v>No date</v>
      </c>
      <c r="G51" s="15"/>
    </row>
    <row r="52" spans="1:7" x14ac:dyDescent="0.35">
      <c r="A52" s="15" t="s">
        <v>223</v>
      </c>
      <c r="B52" s="15">
        <v>-1</v>
      </c>
      <c r="C52" s="25"/>
      <c r="D52" s="26" t="str">
        <f>IF(A52="","",IF(ISNUMBER(C52),C52,IF(AND(ISNUMBER(B52),ISNUMBER(Dashboard!$C$3)),DATE(YEAR(Dashboard!$C$3),MONTH(Dashboard!$C$3)-INT(B52),DAY(Dashboard!$C$3)-ROUND(MOD(B52,1)*28,0)),"")))</f>
        <v/>
      </c>
      <c r="E52" s="15"/>
      <c r="F52" s="32" t="str">
        <f t="shared" ca="1" si="1"/>
        <v>No date</v>
      </c>
      <c r="G52" s="15"/>
    </row>
    <row r="53" spans="1:7" x14ac:dyDescent="0.35">
      <c r="A53" s="15" t="s">
        <v>224</v>
      </c>
      <c r="B53" s="15">
        <v>-1</v>
      </c>
      <c r="C53" s="25"/>
      <c r="D53" s="26" t="str">
        <f>IF(A53="","",IF(ISNUMBER(C53),C53,IF(AND(ISNUMBER(B53),ISNUMBER(Dashboard!$C$3)),DATE(YEAR(Dashboard!$C$3),MONTH(Dashboard!$C$3)-INT(B53),DAY(Dashboard!$C$3)-ROUND(MOD(B53,1)*28,0)),"")))</f>
        <v/>
      </c>
      <c r="E53" s="15"/>
      <c r="F53" s="32" t="str">
        <f t="shared" ca="1" si="1"/>
        <v>No date</v>
      </c>
      <c r="G53" s="15"/>
    </row>
    <row r="54" spans="1:7" x14ac:dyDescent="0.35">
      <c r="A54" s="15" t="s">
        <v>225</v>
      </c>
      <c r="B54" s="15">
        <v>-1</v>
      </c>
      <c r="C54" s="25"/>
      <c r="D54" s="26" t="str">
        <f>IF(A54="","",IF(ISNUMBER(C54),C54,IF(AND(ISNUMBER(B54),ISNUMBER(Dashboard!$C$3)),DATE(YEAR(Dashboard!$C$3),MONTH(Dashboard!$C$3)-INT(B54),DAY(Dashboard!$C$3)-ROUND(MOD(B54,1)*28,0)),"")))</f>
        <v/>
      </c>
      <c r="E54" s="15"/>
      <c r="F54" s="32" t="str">
        <f t="shared" ca="1" si="1"/>
        <v>No date</v>
      </c>
      <c r="G54" s="15"/>
    </row>
    <row r="55" spans="1:7" x14ac:dyDescent="0.35">
      <c r="A55" s="15"/>
      <c r="B55" s="15"/>
      <c r="C55" s="25"/>
      <c r="D55" s="26" t="str">
        <f>IF(A55="","",IF(ISNUMBER(C55),C55,IF(AND(ISNUMBER(B55),ISNUMBER(Dashboard!$C$3)),DATE(YEAR(Dashboard!$C$3),MONTH(Dashboard!$C$3)-INT(B55),DAY(Dashboard!$C$3)-ROUND(MOD(B55,1)*28,0)),"")))</f>
        <v/>
      </c>
      <c r="E55" s="15"/>
      <c r="F55" s="32" t="str">
        <f t="shared" ca="1" si="1"/>
        <v/>
      </c>
      <c r="G55" s="15"/>
    </row>
    <row r="56" spans="1:7" x14ac:dyDescent="0.35">
      <c r="A56" s="15"/>
      <c r="B56" s="15"/>
      <c r="C56" s="25"/>
      <c r="D56" s="26" t="str">
        <f>IF(A56="","",IF(ISNUMBER(C56),C56,IF(AND(ISNUMBER(B56),ISNUMBER(Dashboard!$C$3)),DATE(YEAR(Dashboard!$C$3),MONTH(Dashboard!$C$3)-INT(B56),DAY(Dashboard!$C$3)-ROUND(MOD(B56,1)*28,0)),"")))</f>
        <v/>
      </c>
      <c r="E56" s="15"/>
      <c r="F56" s="32" t="str">
        <f t="shared" ca="1" si="1"/>
        <v/>
      </c>
      <c r="G56" s="15"/>
    </row>
    <row r="57" spans="1:7" x14ac:dyDescent="0.35">
      <c r="A57" s="15"/>
      <c r="B57" s="15"/>
      <c r="C57" s="25"/>
      <c r="D57" s="26" t="str">
        <f>IF(A57="","",IF(ISNUMBER(C57),C57,IF(AND(ISNUMBER(B57),ISNUMBER(Dashboard!$C$3)),DATE(YEAR(Dashboard!$C$3),MONTH(Dashboard!$C$3)-INT(B57),DAY(Dashboard!$C$3)-ROUND(MOD(B57,1)*28,0)),"")))</f>
        <v/>
      </c>
      <c r="E57" s="15"/>
      <c r="F57" s="32" t="str">
        <f t="shared" ca="1" si="1"/>
        <v/>
      </c>
      <c r="G57" s="15"/>
    </row>
    <row r="58" spans="1:7" x14ac:dyDescent="0.35">
      <c r="A58" s="15"/>
      <c r="B58" s="15"/>
      <c r="C58" s="25"/>
      <c r="D58" s="26" t="str">
        <f>IF(A58="","",IF(ISNUMBER(C58),C58,IF(AND(ISNUMBER(B58),ISNUMBER(Dashboard!$C$3)),DATE(YEAR(Dashboard!$C$3),MONTH(Dashboard!$C$3)-INT(B58),DAY(Dashboard!$C$3)-ROUND(MOD(B58,1)*28,0)),"")))</f>
        <v/>
      </c>
      <c r="E58" s="15"/>
      <c r="F58" s="32" t="str">
        <f t="shared" ca="1" si="1"/>
        <v/>
      </c>
      <c r="G58" s="15"/>
    </row>
    <row r="59" spans="1:7" x14ac:dyDescent="0.35">
      <c r="A59" s="15"/>
      <c r="B59" s="15"/>
      <c r="C59" s="25"/>
      <c r="D59" s="26" t="str">
        <f>IF(A59="","",IF(ISNUMBER(C59),C59,IF(AND(ISNUMBER(B59),ISNUMBER(Dashboard!$C$3)),DATE(YEAR(Dashboard!$C$3),MONTH(Dashboard!$C$3)-INT(B59),DAY(Dashboard!$C$3)-ROUND(MOD(B59,1)*28,0)),"")))</f>
        <v/>
      </c>
      <c r="E59" s="15"/>
      <c r="F59" s="32" t="str">
        <f t="shared" ca="1" si="1"/>
        <v/>
      </c>
      <c r="G59" s="15"/>
    </row>
    <row r="60" spans="1:7" x14ac:dyDescent="0.35">
      <c r="A60" s="15"/>
      <c r="B60" s="15"/>
      <c r="C60" s="25"/>
      <c r="D60" s="26" t="str">
        <f>IF(A60="","",IF(ISNUMBER(C60),C60,IF(AND(ISNUMBER(B60),ISNUMBER(Dashboard!$C$3)),DATE(YEAR(Dashboard!$C$3),MONTH(Dashboard!$C$3)-INT(B60),DAY(Dashboard!$C$3)-ROUND(MOD(B60,1)*28,0)),"")))</f>
        <v/>
      </c>
      <c r="E60" s="15"/>
      <c r="F60" s="32" t="str">
        <f t="shared" ca="1" si="1"/>
        <v/>
      </c>
      <c r="G60" s="15"/>
    </row>
    <row r="61" spans="1:7" x14ac:dyDescent="0.35">
      <c r="A61" s="15"/>
      <c r="B61" s="15"/>
      <c r="C61" s="25"/>
      <c r="D61" s="26" t="str">
        <f>IF(A61="","",IF(ISNUMBER(C61),C61,IF(AND(ISNUMBER(B61),ISNUMBER(Dashboard!$C$3)),DATE(YEAR(Dashboard!$C$3),MONTH(Dashboard!$C$3)-INT(B61),DAY(Dashboard!$C$3)-ROUND(MOD(B61,1)*28,0)),"")))</f>
        <v/>
      </c>
      <c r="E61" s="15"/>
      <c r="F61" s="32" t="str">
        <f t="shared" ca="1" si="1"/>
        <v/>
      </c>
      <c r="G61" s="15"/>
    </row>
    <row r="62" spans="1:7" x14ac:dyDescent="0.35">
      <c r="A62" s="15"/>
      <c r="B62" s="15"/>
      <c r="C62" s="25"/>
      <c r="D62" s="26" t="str">
        <f>IF(A62="","",IF(ISNUMBER(C62),C62,IF(AND(ISNUMBER(B62),ISNUMBER(Dashboard!$C$3)),DATE(YEAR(Dashboard!$C$3),MONTH(Dashboard!$C$3)-INT(B62),DAY(Dashboard!$C$3)-ROUND(MOD(B62,1)*28,0)),"")))</f>
        <v/>
      </c>
      <c r="E62" s="15"/>
      <c r="F62" s="32" t="str">
        <f t="shared" ca="1" si="1"/>
        <v/>
      </c>
      <c r="G62" s="15"/>
    </row>
    <row r="63" spans="1:7" x14ac:dyDescent="0.35">
      <c r="A63" s="15"/>
      <c r="B63" s="15"/>
      <c r="C63" s="25"/>
      <c r="D63" s="26" t="str">
        <f>IF(A63="","",IF(ISNUMBER(C63),C63,IF(AND(ISNUMBER(B63),ISNUMBER(Dashboard!$C$3)),DATE(YEAR(Dashboard!$C$3),MONTH(Dashboard!$C$3)-INT(B63),DAY(Dashboard!$C$3)-ROUND(MOD(B63,1)*28,0)),"")))</f>
        <v/>
      </c>
      <c r="E63" s="15"/>
      <c r="F63" s="32" t="str">
        <f t="shared" ca="1" si="1"/>
        <v/>
      </c>
      <c r="G63" s="15"/>
    </row>
    <row r="64" spans="1:7" x14ac:dyDescent="0.35">
      <c r="A64" s="15"/>
      <c r="B64" s="15"/>
      <c r="C64" s="25"/>
      <c r="D64" s="26" t="str">
        <f>IF(A64="","",IF(ISNUMBER(C64),C64,IF(AND(ISNUMBER(B64),ISNUMBER(Dashboard!$C$3)),DATE(YEAR(Dashboard!$C$3),MONTH(Dashboard!$C$3)-INT(B64),DAY(Dashboard!$C$3)-ROUND(MOD(B64,1)*28,0)),"")))</f>
        <v/>
      </c>
      <c r="E64" s="15"/>
      <c r="F64" s="32" t="str">
        <f t="shared" ca="1" si="1"/>
        <v/>
      </c>
      <c r="G64" s="15"/>
    </row>
    <row r="65" spans="1:7" x14ac:dyDescent="0.35">
      <c r="A65" s="15"/>
      <c r="B65" s="15"/>
      <c r="C65" s="25"/>
      <c r="D65" s="26" t="str">
        <f>IF(A65="","",IF(ISNUMBER(C65),C65,IF(AND(ISNUMBER(B65),ISNUMBER(Dashboard!$C$3)),DATE(YEAR(Dashboard!$C$3),MONTH(Dashboard!$C$3)-INT(B65),DAY(Dashboard!$C$3)-ROUND(MOD(B65,1)*28,0)),"")))</f>
        <v/>
      </c>
      <c r="E65" s="15"/>
      <c r="F65" s="32" t="str">
        <f t="shared" ca="1" si="1"/>
        <v/>
      </c>
      <c r="G65" s="15"/>
    </row>
    <row r="66" spans="1:7" x14ac:dyDescent="0.35">
      <c r="A66" s="15"/>
      <c r="B66" s="15"/>
      <c r="C66" s="25"/>
      <c r="D66" s="26" t="str">
        <f>IF(A66="","",IF(ISNUMBER(C66),C66,IF(AND(ISNUMBER(B66),ISNUMBER(Dashboard!$C$3)),DATE(YEAR(Dashboard!$C$3),MONTH(Dashboard!$C$3)-INT(B66),DAY(Dashboard!$C$3)-ROUND(MOD(B66,1)*28,0)),"")))</f>
        <v/>
      </c>
      <c r="E66" s="15"/>
      <c r="F66" s="32" t="str">
        <f t="shared" ca="1" si="1"/>
        <v/>
      </c>
      <c r="G66" s="15"/>
    </row>
    <row r="67" spans="1:7" x14ac:dyDescent="0.35">
      <c r="A67" s="15"/>
      <c r="B67" s="15"/>
      <c r="C67" s="25"/>
      <c r="D67" s="26" t="str">
        <f>IF(A67="","",IF(ISNUMBER(C67),C67,IF(AND(ISNUMBER(B67),ISNUMBER(Dashboard!$C$3)),DATE(YEAR(Dashboard!$C$3),MONTH(Dashboard!$C$3)-INT(B67),DAY(Dashboard!$C$3)-ROUND(MOD(B67,1)*28,0)),"")))</f>
        <v/>
      </c>
      <c r="E67" s="15"/>
      <c r="F67" s="32" t="str">
        <f t="shared" ca="1" si="1"/>
        <v/>
      </c>
      <c r="G67" s="15"/>
    </row>
    <row r="68" spans="1:7" x14ac:dyDescent="0.35">
      <c r="A68" s="15"/>
      <c r="B68" s="15"/>
      <c r="C68" s="25"/>
      <c r="D68" s="26" t="str">
        <f>IF(A68="","",IF(ISNUMBER(C68),C68,IF(AND(ISNUMBER(B68),ISNUMBER(Dashboard!$C$3)),DATE(YEAR(Dashboard!$C$3),MONTH(Dashboard!$C$3)-INT(B68),DAY(Dashboard!$C$3)-ROUND(MOD(B68,1)*28,0)),"")))</f>
        <v/>
      </c>
      <c r="E68" s="15"/>
      <c r="F68" s="32" t="str">
        <f t="shared" ca="1" si="1"/>
        <v/>
      </c>
      <c r="G68" s="15"/>
    </row>
    <row r="69" spans="1:7" x14ac:dyDescent="0.35">
      <c r="A69" s="15"/>
      <c r="B69" s="15"/>
      <c r="C69" s="25"/>
      <c r="D69" s="26" t="str">
        <f>IF(A69="","",IF(ISNUMBER(C69),C69,IF(AND(ISNUMBER(B69),ISNUMBER(Dashboard!$C$3)),DATE(YEAR(Dashboard!$C$3),MONTH(Dashboard!$C$3)-INT(B69),DAY(Dashboard!$C$3)-ROUND(MOD(B69,1)*28,0)),"")))</f>
        <v/>
      </c>
      <c r="E69" s="15"/>
      <c r="F69" s="32" t="str">
        <f t="shared" ref="F69:F100" ca="1" si="2">IF(A69="","",IF(E69="Yes","Done",IF(D69="","No date",IF(D69&lt;TODAY(),"OVERDUE",IF(D69-TODAY()&lt;=30,"Due soon","Upcoming")))))</f>
        <v/>
      </c>
      <c r="G69" s="15"/>
    </row>
    <row r="70" spans="1:7" x14ac:dyDescent="0.35">
      <c r="A70" s="15"/>
      <c r="B70" s="15"/>
      <c r="C70" s="25"/>
      <c r="D70" s="26" t="str">
        <f>IF(A70="","",IF(ISNUMBER(C70),C70,IF(AND(ISNUMBER(B70),ISNUMBER(Dashboard!$C$3)),DATE(YEAR(Dashboard!$C$3),MONTH(Dashboard!$C$3)-INT(B70),DAY(Dashboard!$C$3)-ROUND(MOD(B70,1)*28,0)),"")))</f>
        <v/>
      </c>
      <c r="E70" s="15"/>
      <c r="F70" s="32" t="str">
        <f t="shared" ca="1" si="2"/>
        <v/>
      </c>
      <c r="G70" s="15"/>
    </row>
    <row r="71" spans="1:7" x14ac:dyDescent="0.35">
      <c r="A71" s="15"/>
      <c r="B71" s="15"/>
      <c r="C71" s="25"/>
      <c r="D71" s="26" t="str">
        <f>IF(A71="","",IF(ISNUMBER(C71),C71,IF(AND(ISNUMBER(B71),ISNUMBER(Dashboard!$C$3)),DATE(YEAR(Dashboard!$C$3),MONTH(Dashboard!$C$3)-INT(B71),DAY(Dashboard!$C$3)-ROUND(MOD(B71,1)*28,0)),"")))</f>
        <v/>
      </c>
      <c r="E71" s="15"/>
      <c r="F71" s="32" t="str">
        <f t="shared" ca="1" si="2"/>
        <v/>
      </c>
      <c r="G71" s="15"/>
    </row>
    <row r="72" spans="1:7" x14ac:dyDescent="0.35">
      <c r="A72" s="15"/>
      <c r="B72" s="15"/>
      <c r="C72" s="25"/>
      <c r="D72" s="26" t="str">
        <f>IF(A72="","",IF(ISNUMBER(C72),C72,IF(AND(ISNUMBER(B72),ISNUMBER(Dashboard!$C$3)),DATE(YEAR(Dashboard!$C$3),MONTH(Dashboard!$C$3)-INT(B72),DAY(Dashboard!$C$3)-ROUND(MOD(B72,1)*28,0)),"")))</f>
        <v/>
      </c>
      <c r="E72" s="15"/>
      <c r="F72" s="32" t="str">
        <f t="shared" ca="1" si="2"/>
        <v/>
      </c>
      <c r="G72" s="15"/>
    </row>
    <row r="73" spans="1:7" x14ac:dyDescent="0.35">
      <c r="A73" s="15"/>
      <c r="B73" s="15"/>
      <c r="C73" s="25"/>
      <c r="D73" s="26" t="str">
        <f>IF(A73="","",IF(ISNUMBER(C73),C73,IF(AND(ISNUMBER(B73),ISNUMBER(Dashboard!$C$3)),DATE(YEAR(Dashboard!$C$3),MONTH(Dashboard!$C$3)-INT(B73),DAY(Dashboard!$C$3)-ROUND(MOD(B73,1)*28,0)),"")))</f>
        <v/>
      </c>
      <c r="E73" s="15"/>
      <c r="F73" s="32" t="str">
        <f t="shared" ca="1" si="2"/>
        <v/>
      </c>
      <c r="G73" s="15"/>
    </row>
    <row r="74" spans="1:7" x14ac:dyDescent="0.35">
      <c r="A74" s="15"/>
      <c r="B74" s="15"/>
      <c r="C74" s="25"/>
      <c r="D74" s="26" t="str">
        <f>IF(A74="","",IF(ISNUMBER(C74),C74,IF(AND(ISNUMBER(B74),ISNUMBER(Dashboard!$C$3)),DATE(YEAR(Dashboard!$C$3),MONTH(Dashboard!$C$3)-INT(B74),DAY(Dashboard!$C$3)-ROUND(MOD(B74,1)*28,0)),"")))</f>
        <v/>
      </c>
      <c r="E74" s="15"/>
      <c r="F74" s="32" t="str">
        <f t="shared" ca="1" si="2"/>
        <v/>
      </c>
      <c r="G74" s="15"/>
    </row>
    <row r="75" spans="1:7" x14ac:dyDescent="0.35">
      <c r="A75" s="15"/>
      <c r="B75" s="15"/>
      <c r="C75" s="25"/>
      <c r="D75" s="26" t="str">
        <f>IF(A75="","",IF(ISNUMBER(C75),C75,IF(AND(ISNUMBER(B75),ISNUMBER(Dashboard!$C$3)),DATE(YEAR(Dashboard!$C$3),MONTH(Dashboard!$C$3)-INT(B75),DAY(Dashboard!$C$3)-ROUND(MOD(B75,1)*28,0)),"")))</f>
        <v/>
      </c>
      <c r="E75" s="15"/>
      <c r="F75" s="32" t="str">
        <f t="shared" ca="1" si="2"/>
        <v/>
      </c>
      <c r="G75" s="15"/>
    </row>
    <row r="76" spans="1:7" x14ac:dyDescent="0.35">
      <c r="A76" s="15"/>
      <c r="B76" s="15"/>
      <c r="C76" s="25"/>
      <c r="D76" s="26" t="str">
        <f>IF(A76="","",IF(ISNUMBER(C76),C76,IF(AND(ISNUMBER(B76),ISNUMBER(Dashboard!$C$3)),DATE(YEAR(Dashboard!$C$3),MONTH(Dashboard!$C$3)-INT(B76),DAY(Dashboard!$C$3)-ROUND(MOD(B76,1)*28,0)),"")))</f>
        <v/>
      </c>
      <c r="E76" s="15"/>
      <c r="F76" s="32" t="str">
        <f t="shared" ca="1" si="2"/>
        <v/>
      </c>
      <c r="G76" s="15"/>
    </row>
    <row r="77" spans="1:7" x14ac:dyDescent="0.35">
      <c r="A77" s="15"/>
      <c r="B77" s="15"/>
      <c r="C77" s="25"/>
      <c r="D77" s="26" t="str">
        <f>IF(A77="","",IF(ISNUMBER(C77),C77,IF(AND(ISNUMBER(B77),ISNUMBER(Dashboard!$C$3)),DATE(YEAR(Dashboard!$C$3),MONTH(Dashboard!$C$3)-INT(B77),DAY(Dashboard!$C$3)-ROUND(MOD(B77,1)*28,0)),"")))</f>
        <v/>
      </c>
      <c r="E77" s="15"/>
      <c r="F77" s="32" t="str">
        <f t="shared" ca="1" si="2"/>
        <v/>
      </c>
      <c r="G77" s="15"/>
    </row>
    <row r="78" spans="1:7" x14ac:dyDescent="0.35">
      <c r="A78" s="15"/>
      <c r="B78" s="15"/>
      <c r="C78" s="25"/>
      <c r="D78" s="26" t="str">
        <f>IF(A78="","",IF(ISNUMBER(C78),C78,IF(AND(ISNUMBER(B78),ISNUMBER(Dashboard!$C$3)),DATE(YEAR(Dashboard!$C$3),MONTH(Dashboard!$C$3)-INT(B78),DAY(Dashboard!$C$3)-ROUND(MOD(B78,1)*28,0)),"")))</f>
        <v/>
      </c>
      <c r="E78" s="15"/>
      <c r="F78" s="32" t="str">
        <f t="shared" ca="1" si="2"/>
        <v/>
      </c>
      <c r="G78" s="15"/>
    </row>
    <row r="79" spans="1:7" x14ac:dyDescent="0.35">
      <c r="A79" s="15"/>
      <c r="B79" s="15"/>
      <c r="C79" s="25"/>
      <c r="D79" s="26" t="str">
        <f>IF(A79="","",IF(ISNUMBER(C79),C79,IF(AND(ISNUMBER(B79),ISNUMBER(Dashboard!$C$3)),DATE(YEAR(Dashboard!$C$3),MONTH(Dashboard!$C$3)-INT(B79),DAY(Dashboard!$C$3)-ROUND(MOD(B79,1)*28,0)),"")))</f>
        <v/>
      </c>
      <c r="E79" s="15"/>
      <c r="F79" s="32" t="str">
        <f t="shared" ca="1" si="2"/>
        <v/>
      </c>
      <c r="G79" s="15"/>
    </row>
    <row r="80" spans="1:7" x14ac:dyDescent="0.35">
      <c r="A80" s="15"/>
      <c r="B80" s="15"/>
      <c r="C80" s="25"/>
      <c r="D80" s="26" t="str">
        <f>IF(A80="","",IF(ISNUMBER(C80),C80,IF(AND(ISNUMBER(B80),ISNUMBER(Dashboard!$C$3)),DATE(YEAR(Dashboard!$C$3),MONTH(Dashboard!$C$3)-INT(B80),DAY(Dashboard!$C$3)-ROUND(MOD(B80,1)*28,0)),"")))</f>
        <v/>
      </c>
      <c r="E80" s="15"/>
      <c r="F80" s="32" t="str">
        <f t="shared" ca="1" si="2"/>
        <v/>
      </c>
      <c r="G80" s="15"/>
    </row>
    <row r="81" spans="1:7" x14ac:dyDescent="0.35">
      <c r="A81" s="15"/>
      <c r="B81" s="15"/>
      <c r="C81" s="25"/>
      <c r="D81" s="26" t="str">
        <f>IF(A81="","",IF(ISNUMBER(C81),C81,IF(AND(ISNUMBER(B81),ISNUMBER(Dashboard!$C$3)),DATE(YEAR(Dashboard!$C$3),MONTH(Dashboard!$C$3)-INT(B81),DAY(Dashboard!$C$3)-ROUND(MOD(B81,1)*28,0)),"")))</f>
        <v/>
      </c>
      <c r="E81" s="15"/>
      <c r="F81" s="32" t="str">
        <f t="shared" ca="1" si="2"/>
        <v/>
      </c>
      <c r="G81" s="15"/>
    </row>
    <row r="82" spans="1:7" x14ac:dyDescent="0.35">
      <c r="A82" s="15"/>
      <c r="B82" s="15"/>
      <c r="C82" s="25"/>
      <c r="D82" s="26" t="str">
        <f>IF(A82="","",IF(ISNUMBER(C82),C82,IF(AND(ISNUMBER(B82),ISNUMBER(Dashboard!$C$3)),DATE(YEAR(Dashboard!$C$3),MONTH(Dashboard!$C$3)-INT(B82),DAY(Dashboard!$C$3)-ROUND(MOD(B82,1)*28,0)),"")))</f>
        <v/>
      </c>
      <c r="E82" s="15"/>
      <c r="F82" s="32" t="str">
        <f t="shared" ca="1" si="2"/>
        <v/>
      </c>
      <c r="G82" s="15"/>
    </row>
    <row r="83" spans="1:7" x14ac:dyDescent="0.35">
      <c r="A83" s="15"/>
      <c r="B83" s="15"/>
      <c r="C83" s="25"/>
      <c r="D83" s="26" t="str">
        <f>IF(A83="","",IF(ISNUMBER(C83),C83,IF(AND(ISNUMBER(B83),ISNUMBER(Dashboard!$C$3)),DATE(YEAR(Dashboard!$C$3),MONTH(Dashboard!$C$3)-INT(B83),DAY(Dashboard!$C$3)-ROUND(MOD(B83,1)*28,0)),"")))</f>
        <v/>
      </c>
      <c r="E83" s="15"/>
      <c r="F83" s="32" t="str">
        <f t="shared" ca="1" si="2"/>
        <v/>
      </c>
      <c r="G83" s="15"/>
    </row>
    <row r="84" spans="1:7" x14ac:dyDescent="0.35">
      <c r="A84" s="15"/>
      <c r="B84" s="15"/>
      <c r="C84" s="25"/>
      <c r="D84" s="26" t="str">
        <f>IF(A84="","",IF(ISNUMBER(C84),C84,IF(AND(ISNUMBER(B84),ISNUMBER(Dashboard!$C$3)),DATE(YEAR(Dashboard!$C$3),MONTH(Dashboard!$C$3)-INT(B84),DAY(Dashboard!$C$3)-ROUND(MOD(B84,1)*28,0)),"")))</f>
        <v/>
      </c>
      <c r="E84" s="15"/>
      <c r="F84" s="32" t="str">
        <f t="shared" ca="1" si="2"/>
        <v/>
      </c>
      <c r="G84" s="15"/>
    </row>
    <row r="85" spans="1:7" x14ac:dyDescent="0.35">
      <c r="A85" s="15"/>
      <c r="B85" s="15"/>
      <c r="C85" s="25"/>
      <c r="D85" s="26" t="str">
        <f>IF(A85="","",IF(ISNUMBER(C85),C85,IF(AND(ISNUMBER(B85),ISNUMBER(Dashboard!$C$3)),DATE(YEAR(Dashboard!$C$3),MONTH(Dashboard!$C$3)-INT(B85),DAY(Dashboard!$C$3)-ROUND(MOD(B85,1)*28,0)),"")))</f>
        <v/>
      </c>
      <c r="E85" s="15"/>
      <c r="F85" s="32" t="str">
        <f t="shared" ca="1" si="2"/>
        <v/>
      </c>
      <c r="G85" s="15"/>
    </row>
    <row r="86" spans="1:7" x14ac:dyDescent="0.35">
      <c r="A86" s="15"/>
      <c r="B86" s="15"/>
      <c r="C86" s="25"/>
      <c r="D86" s="26" t="str">
        <f>IF(A86="","",IF(ISNUMBER(C86),C86,IF(AND(ISNUMBER(B86),ISNUMBER(Dashboard!$C$3)),DATE(YEAR(Dashboard!$C$3),MONTH(Dashboard!$C$3)-INT(B86),DAY(Dashboard!$C$3)-ROUND(MOD(B86,1)*28,0)),"")))</f>
        <v/>
      </c>
      <c r="E86" s="15"/>
      <c r="F86" s="32" t="str">
        <f t="shared" ca="1" si="2"/>
        <v/>
      </c>
      <c r="G86" s="15"/>
    </row>
    <row r="87" spans="1:7" x14ac:dyDescent="0.35">
      <c r="A87" s="15"/>
      <c r="B87" s="15"/>
      <c r="C87" s="25"/>
      <c r="D87" s="26" t="str">
        <f>IF(A87="","",IF(ISNUMBER(C87),C87,IF(AND(ISNUMBER(B87),ISNUMBER(Dashboard!$C$3)),DATE(YEAR(Dashboard!$C$3),MONTH(Dashboard!$C$3)-INT(B87),DAY(Dashboard!$C$3)-ROUND(MOD(B87,1)*28,0)),"")))</f>
        <v/>
      </c>
      <c r="E87" s="15"/>
      <c r="F87" s="32" t="str">
        <f t="shared" ca="1" si="2"/>
        <v/>
      </c>
      <c r="G87" s="15"/>
    </row>
    <row r="88" spans="1:7" x14ac:dyDescent="0.35">
      <c r="A88" s="15"/>
      <c r="B88" s="15"/>
      <c r="C88" s="25"/>
      <c r="D88" s="26" t="str">
        <f>IF(A88="","",IF(ISNUMBER(C88),C88,IF(AND(ISNUMBER(B88),ISNUMBER(Dashboard!$C$3)),DATE(YEAR(Dashboard!$C$3),MONTH(Dashboard!$C$3)-INT(B88),DAY(Dashboard!$C$3)-ROUND(MOD(B88,1)*28,0)),"")))</f>
        <v/>
      </c>
      <c r="E88" s="15"/>
      <c r="F88" s="32" t="str">
        <f t="shared" ca="1" si="2"/>
        <v/>
      </c>
      <c r="G88" s="15"/>
    </row>
    <row r="89" spans="1:7" x14ac:dyDescent="0.35">
      <c r="A89" s="15"/>
      <c r="B89" s="15"/>
      <c r="C89" s="25"/>
      <c r="D89" s="26" t="str">
        <f>IF(A89="","",IF(ISNUMBER(C89),C89,IF(AND(ISNUMBER(B89),ISNUMBER(Dashboard!$C$3)),DATE(YEAR(Dashboard!$C$3),MONTH(Dashboard!$C$3)-INT(B89),DAY(Dashboard!$C$3)-ROUND(MOD(B89,1)*28,0)),"")))</f>
        <v/>
      </c>
      <c r="E89" s="15"/>
      <c r="F89" s="32" t="str">
        <f t="shared" ca="1" si="2"/>
        <v/>
      </c>
      <c r="G89" s="15"/>
    </row>
    <row r="90" spans="1:7" x14ac:dyDescent="0.35">
      <c r="A90" s="15"/>
      <c r="B90" s="15"/>
      <c r="C90" s="25"/>
      <c r="D90" s="26" t="str">
        <f>IF(A90="","",IF(ISNUMBER(C90),C90,IF(AND(ISNUMBER(B90),ISNUMBER(Dashboard!$C$3)),DATE(YEAR(Dashboard!$C$3),MONTH(Dashboard!$C$3)-INT(B90),DAY(Dashboard!$C$3)-ROUND(MOD(B90,1)*28,0)),"")))</f>
        <v/>
      </c>
      <c r="E90" s="15"/>
      <c r="F90" s="32" t="str">
        <f t="shared" ca="1" si="2"/>
        <v/>
      </c>
      <c r="G90" s="15"/>
    </row>
    <row r="91" spans="1:7" x14ac:dyDescent="0.35">
      <c r="A91" s="15"/>
      <c r="B91" s="15"/>
      <c r="C91" s="25"/>
      <c r="D91" s="26" t="str">
        <f>IF(A91="","",IF(ISNUMBER(C91),C91,IF(AND(ISNUMBER(B91),ISNUMBER(Dashboard!$C$3)),DATE(YEAR(Dashboard!$C$3),MONTH(Dashboard!$C$3)-INT(B91),DAY(Dashboard!$C$3)-ROUND(MOD(B91,1)*28,0)),"")))</f>
        <v/>
      </c>
      <c r="E91" s="15"/>
      <c r="F91" s="32" t="str">
        <f t="shared" ca="1" si="2"/>
        <v/>
      </c>
      <c r="G91" s="15"/>
    </row>
    <row r="92" spans="1:7" x14ac:dyDescent="0.35">
      <c r="A92" s="15"/>
      <c r="B92" s="15"/>
      <c r="C92" s="25"/>
      <c r="D92" s="26" t="str">
        <f>IF(A92="","",IF(ISNUMBER(C92),C92,IF(AND(ISNUMBER(B92),ISNUMBER(Dashboard!$C$3)),DATE(YEAR(Dashboard!$C$3),MONTH(Dashboard!$C$3)-INT(B92),DAY(Dashboard!$C$3)-ROUND(MOD(B92,1)*28,0)),"")))</f>
        <v/>
      </c>
      <c r="E92" s="15"/>
      <c r="F92" s="32" t="str">
        <f t="shared" ca="1" si="2"/>
        <v/>
      </c>
      <c r="G92" s="15"/>
    </row>
    <row r="93" spans="1:7" x14ac:dyDescent="0.35">
      <c r="A93" s="15"/>
      <c r="B93" s="15"/>
      <c r="C93" s="25"/>
      <c r="D93" s="26" t="str">
        <f>IF(A93="","",IF(ISNUMBER(C93),C93,IF(AND(ISNUMBER(B93),ISNUMBER(Dashboard!$C$3)),DATE(YEAR(Dashboard!$C$3),MONTH(Dashboard!$C$3)-INT(B93),DAY(Dashboard!$C$3)-ROUND(MOD(B93,1)*28,0)),"")))</f>
        <v/>
      </c>
      <c r="E93" s="15"/>
      <c r="F93" s="32" t="str">
        <f t="shared" ca="1" si="2"/>
        <v/>
      </c>
      <c r="G93" s="15"/>
    </row>
    <row r="94" spans="1:7" x14ac:dyDescent="0.35">
      <c r="A94" s="15"/>
      <c r="B94" s="15"/>
      <c r="C94" s="25"/>
      <c r="D94" s="26" t="str">
        <f>IF(A94="","",IF(ISNUMBER(C94),C94,IF(AND(ISNUMBER(B94),ISNUMBER(Dashboard!$C$3)),DATE(YEAR(Dashboard!$C$3),MONTH(Dashboard!$C$3)-INT(B94),DAY(Dashboard!$C$3)-ROUND(MOD(B94,1)*28,0)),"")))</f>
        <v/>
      </c>
      <c r="E94" s="15"/>
      <c r="F94" s="32" t="str">
        <f t="shared" ca="1" si="2"/>
        <v/>
      </c>
      <c r="G94" s="15"/>
    </row>
    <row r="95" spans="1:7" x14ac:dyDescent="0.35">
      <c r="A95" s="15"/>
      <c r="B95" s="15"/>
      <c r="C95" s="25"/>
      <c r="D95" s="26" t="str">
        <f>IF(A95="","",IF(ISNUMBER(C95),C95,IF(AND(ISNUMBER(B95),ISNUMBER(Dashboard!$C$3)),DATE(YEAR(Dashboard!$C$3),MONTH(Dashboard!$C$3)-INT(B95),DAY(Dashboard!$C$3)-ROUND(MOD(B95,1)*28,0)),"")))</f>
        <v/>
      </c>
      <c r="E95" s="15"/>
      <c r="F95" s="32" t="str">
        <f t="shared" ca="1" si="2"/>
        <v/>
      </c>
      <c r="G95" s="15"/>
    </row>
    <row r="96" spans="1:7" x14ac:dyDescent="0.35">
      <c r="A96" s="15"/>
      <c r="B96" s="15"/>
      <c r="C96" s="25"/>
      <c r="D96" s="26" t="str">
        <f>IF(A96="","",IF(ISNUMBER(C96),C96,IF(AND(ISNUMBER(B96),ISNUMBER(Dashboard!$C$3)),DATE(YEAR(Dashboard!$C$3),MONTH(Dashboard!$C$3)-INT(B96),DAY(Dashboard!$C$3)-ROUND(MOD(B96,1)*28,0)),"")))</f>
        <v/>
      </c>
      <c r="E96" s="15"/>
      <c r="F96" s="32" t="str">
        <f t="shared" ca="1" si="2"/>
        <v/>
      </c>
      <c r="G96" s="15"/>
    </row>
    <row r="97" spans="1:7" x14ac:dyDescent="0.35">
      <c r="A97" s="15"/>
      <c r="B97" s="15"/>
      <c r="C97" s="25"/>
      <c r="D97" s="26" t="str">
        <f>IF(A97="","",IF(ISNUMBER(C97),C97,IF(AND(ISNUMBER(B97),ISNUMBER(Dashboard!$C$3)),DATE(YEAR(Dashboard!$C$3),MONTH(Dashboard!$C$3)-INT(B97),DAY(Dashboard!$C$3)-ROUND(MOD(B97,1)*28,0)),"")))</f>
        <v/>
      </c>
      <c r="E97" s="15"/>
      <c r="F97" s="32" t="str">
        <f t="shared" ca="1" si="2"/>
        <v/>
      </c>
      <c r="G97" s="15"/>
    </row>
    <row r="98" spans="1:7" x14ac:dyDescent="0.35">
      <c r="A98" s="15"/>
      <c r="B98" s="15"/>
      <c r="C98" s="25"/>
      <c r="D98" s="26" t="str">
        <f>IF(A98="","",IF(ISNUMBER(C98),C98,IF(AND(ISNUMBER(B98),ISNUMBER(Dashboard!$C$3)),DATE(YEAR(Dashboard!$C$3),MONTH(Dashboard!$C$3)-INT(B98),DAY(Dashboard!$C$3)-ROUND(MOD(B98,1)*28,0)),"")))</f>
        <v/>
      </c>
      <c r="E98" s="15"/>
      <c r="F98" s="32" t="str">
        <f t="shared" ca="1" si="2"/>
        <v/>
      </c>
      <c r="G98" s="15"/>
    </row>
    <row r="99" spans="1:7" x14ac:dyDescent="0.35">
      <c r="A99" s="15"/>
      <c r="B99" s="15"/>
      <c r="C99" s="25"/>
      <c r="D99" s="26" t="str">
        <f>IF(A99="","",IF(ISNUMBER(C99),C99,IF(AND(ISNUMBER(B99),ISNUMBER(Dashboard!$C$3)),DATE(YEAR(Dashboard!$C$3),MONTH(Dashboard!$C$3)-INT(B99),DAY(Dashboard!$C$3)-ROUND(MOD(B99,1)*28,0)),"")))</f>
        <v/>
      </c>
      <c r="E99" s="15"/>
      <c r="F99" s="32" t="str">
        <f t="shared" ca="1" si="2"/>
        <v/>
      </c>
      <c r="G99" s="15"/>
    </row>
    <row r="100" spans="1:7" x14ac:dyDescent="0.35">
      <c r="A100" s="15"/>
      <c r="B100" s="15"/>
      <c r="C100" s="25"/>
      <c r="D100" s="26" t="str">
        <f>IF(A100="","",IF(ISNUMBER(C100),C100,IF(AND(ISNUMBER(B100),ISNUMBER(Dashboard!$C$3)),DATE(YEAR(Dashboard!$C$3),MONTH(Dashboard!$C$3)-INT(B100),DAY(Dashboard!$C$3)-ROUND(MOD(B100,1)*28,0)),"")))</f>
        <v/>
      </c>
      <c r="E100" s="15"/>
      <c r="F100" s="32" t="str">
        <f t="shared" ca="1" si="2"/>
        <v/>
      </c>
      <c r="G100" s="15"/>
    </row>
    <row r="101" spans="1:7" x14ac:dyDescent="0.35">
      <c r="A101" s="15"/>
      <c r="B101" s="15"/>
      <c r="C101" s="25"/>
      <c r="D101" s="26" t="str">
        <f>IF(A101="","",IF(ISNUMBER(C101),C101,IF(AND(ISNUMBER(B101),ISNUMBER(Dashboard!$C$3)),DATE(YEAR(Dashboard!$C$3),MONTH(Dashboard!$C$3)-INT(B101),DAY(Dashboard!$C$3)-ROUND(MOD(B101,1)*28,0)),"")))</f>
        <v/>
      </c>
      <c r="E101" s="15"/>
      <c r="F101" s="32" t="str">
        <f t="shared" ref="F101:F132" ca="1" si="3">IF(A101="","",IF(E101="Yes","Done",IF(D101="","No date",IF(D101&lt;TODAY(),"OVERDUE",IF(D101-TODAY()&lt;=30,"Due soon","Upcoming")))))</f>
        <v/>
      </c>
      <c r="G101" s="15"/>
    </row>
    <row r="102" spans="1:7" x14ac:dyDescent="0.35">
      <c r="A102" s="15"/>
      <c r="B102" s="15"/>
      <c r="C102" s="25"/>
      <c r="D102" s="26" t="str">
        <f>IF(A102="","",IF(ISNUMBER(C102),C102,IF(AND(ISNUMBER(B102),ISNUMBER(Dashboard!$C$3)),DATE(YEAR(Dashboard!$C$3),MONTH(Dashboard!$C$3)-INT(B102),DAY(Dashboard!$C$3)-ROUND(MOD(B102,1)*28,0)),"")))</f>
        <v/>
      </c>
      <c r="E102" s="15"/>
      <c r="F102" s="32" t="str">
        <f t="shared" ca="1" si="3"/>
        <v/>
      </c>
      <c r="G102" s="15"/>
    </row>
    <row r="103" spans="1:7" x14ac:dyDescent="0.35">
      <c r="A103" s="15"/>
      <c r="B103" s="15"/>
      <c r="C103" s="25"/>
      <c r="D103" s="26" t="str">
        <f>IF(A103="","",IF(ISNUMBER(C103),C103,IF(AND(ISNUMBER(B103),ISNUMBER(Dashboard!$C$3)),DATE(YEAR(Dashboard!$C$3),MONTH(Dashboard!$C$3)-INT(B103),DAY(Dashboard!$C$3)-ROUND(MOD(B103,1)*28,0)),"")))</f>
        <v/>
      </c>
      <c r="E103" s="15"/>
      <c r="F103" s="32" t="str">
        <f t="shared" ca="1" si="3"/>
        <v/>
      </c>
      <c r="G103" s="15"/>
    </row>
    <row r="104" spans="1:7" x14ac:dyDescent="0.35">
      <c r="A104" s="15"/>
      <c r="B104" s="15"/>
      <c r="C104" s="25"/>
      <c r="D104" s="26" t="str">
        <f>IF(A104="","",IF(ISNUMBER(C104),C104,IF(AND(ISNUMBER(B104),ISNUMBER(Dashboard!$C$3)),DATE(YEAR(Dashboard!$C$3),MONTH(Dashboard!$C$3)-INT(B104),DAY(Dashboard!$C$3)-ROUND(MOD(B104,1)*28,0)),"")))</f>
        <v/>
      </c>
      <c r="E104" s="15"/>
      <c r="F104" s="32" t="str">
        <f t="shared" ca="1" si="3"/>
        <v/>
      </c>
      <c r="G104" s="15"/>
    </row>
    <row r="105" spans="1:7" x14ac:dyDescent="0.35">
      <c r="A105" s="15"/>
      <c r="B105" s="15"/>
      <c r="C105" s="25"/>
      <c r="D105" s="26" t="str">
        <f>IF(A105="","",IF(ISNUMBER(C105),C105,IF(AND(ISNUMBER(B105),ISNUMBER(Dashboard!$C$3)),DATE(YEAR(Dashboard!$C$3),MONTH(Dashboard!$C$3)-INT(B105),DAY(Dashboard!$C$3)-ROUND(MOD(B105,1)*28,0)),"")))</f>
        <v/>
      </c>
      <c r="E105" s="15"/>
      <c r="F105" s="32" t="str">
        <f t="shared" ca="1" si="3"/>
        <v/>
      </c>
      <c r="G105" s="15"/>
    </row>
    <row r="106" spans="1:7" x14ac:dyDescent="0.35">
      <c r="A106" s="15"/>
      <c r="B106" s="15"/>
      <c r="C106" s="25"/>
      <c r="D106" s="26" t="str">
        <f>IF(A106="","",IF(ISNUMBER(C106),C106,IF(AND(ISNUMBER(B106),ISNUMBER(Dashboard!$C$3)),DATE(YEAR(Dashboard!$C$3),MONTH(Dashboard!$C$3)-INT(B106),DAY(Dashboard!$C$3)-ROUND(MOD(B106,1)*28,0)),"")))</f>
        <v/>
      </c>
      <c r="E106" s="15"/>
      <c r="F106" s="32" t="str">
        <f t="shared" ca="1" si="3"/>
        <v/>
      </c>
      <c r="G106" s="15"/>
    </row>
    <row r="107" spans="1:7" x14ac:dyDescent="0.35">
      <c r="A107" s="15"/>
      <c r="B107" s="15"/>
      <c r="C107" s="25"/>
      <c r="D107" s="26" t="str">
        <f>IF(A107="","",IF(ISNUMBER(C107),C107,IF(AND(ISNUMBER(B107),ISNUMBER(Dashboard!$C$3)),DATE(YEAR(Dashboard!$C$3),MONTH(Dashboard!$C$3)-INT(B107),DAY(Dashboard!$C$3)-ROUND(MOD(B107,1)*28,0)),"")))</f>
        <v/>
      </c>
      <c r="E107" s="15"/>
      <c r="F107" s="32" t="str">
        <f t="shared" ca="1" si="3"/>
        <v/>
      </c>
      <c r="G107" s="15"/>
    </row>
    <row r="108" spans="1:7" x14ac:dyDescent="0.35">
      <c r="A108" s="15"/>
      <c r="B108" s="15"/>
      <c r="C108" s="25"/>
      <c r="D108" s="26" t="str">
        <f>IF(A108="","",IF(ISNUMBER(C108),C108,IF(AND(ISNUMBER(B108),ISNUMBER(Dashboard!$C$3)),DATE(YEAR(Dashboard!$C$3),MONTH(Dashboard!$C$3)-INT(B108),DAY(Dashboard!$C$3)-ROUND(MOD(B108,1)*28,0)),"")))</f>
        <v/>
      </c>
      <c r="E108" s="15"/>
      <c r="F108" s="32" t="str">
        <f t="shared" ca="1" si="3"/>
        <v/>
      </c>
      <c r="G108" s="15"/>
    </row>
    <row r="109" spans="1:7" x14ac:dyDescent="0.35">
      <c r="A109" s="15"/>
      <c r="B109" s="15"/>
      <c r="C109" s="25"/>
      <c r="D109" s="26" t="str">
        <f>IF(A109="","",IF(ISNUMBER(C109),C109,IF(AND(ISNUMBER(B109),ISNUMBER(Dashboard!$C$3)),DATE(YEAR(Dashboard!$C$3),MONTH(Dashboard!$C$3)-INT(B109),DAY(Dashboard!$C$3)-ROUND(MOD(B109,1)*28,0)),"")))</f>
        <v/>
      </c>
      <c r="E109" s="15"/>
      <c r="F109" s="32" t="str">
        <f t="shared" ca="1" si="3"/>
        <v/>
      </c>
      <c r="G109" s="15"/>
    </row>
    <row r="110" spans="1:7" x14ac:dyDescent="0.35">
      <c r="A110" s="15"/>
      <c r="B110" s="15"/>
      <c r="C110" s="25"/>
      <c r="D110" s="26" t="str">
        <f>IF(A110="","",IF(ISNUMBER(C110),C110,IF(AND(ISNUMBER(B110),ISNUMBER(Dashboard!$C$3)),DATE(YEAR(Dashboard!$C$3),MONTH(Dashboard!$C$3)-INT(B110),DAY(Dashboard!$C$3)-ROUND(MOD(B110,1)*28,0)),"")))</f>
        <v/>
      </c>
      <c r="E110" s="15"/>
      <c r="F110" s="32" t="str">
        <f t="shared" ca="1" si="3"/>
        <v/>
      </c>
      <c r="G110" s="15"/>
    </row>
    <row r="111" spans="1:7" x14ac:dyDescent="0.35">
      <c r="A111" s="15"/>
      <c r="B111" s="15"/>
      <c r="C111" s="25"/>
      <c r="D111" s="26" t="str">
        <f>IF(A111="","",IF(ISNUMBER(C111),C111,IF(AND(ISNUMBER(B111),ISNUMBER(Dashboard!$C$3)),DATE(YEAR(Dashboard!$C$3),MONTH(Dashboard!$C$3)-INT(B111),DAY(Dashboard!$C$3)-ROUND(MOD(B111,1)*28,0)),"")))</f>
        <v/>
      </c>
      <c r="E111" s="15"/>
      <c r="F111" s="32" t="str">
        <f t="shared" ca="1" si="3"/>
        <v/>
      </c>
      <c r="G111" s="15"/>
    </row>
    <row r="112" spans="1:7" x14ac:dyDescent="0.35">
      <c r="A112" s="15"/>
      <c r="B112" s="15"/>
      <c r="C112" s="25"/>
      <c r="D112" s="26" t="str">
        <f>IF(A112="","",IF(ISNUMBER(C112),C112,IF(AND(ISNUMBER(B112),ISNUMBER(Dashboard!$C$3)),DATE(YEAR(Dashboard!$C$3),MONTH(Dashboard!$C$3)-INT(B112),DAY(Dashboard!$C$3)-ROUND(MOD(B112,1)*28,0)),"")))</f>
        <v/>
      </c>
      <c r="E112" s="15"/>
      <c r="F112" s="32" t="str">
        <f t="shared" ca="1" si="3"/>
        <v/>
      </c>
      <c r="G112" s="15"/>
    </row>
    <row r="113" spans="1:7" x14ac:dyDescent="0.35">
      <c r="A113" s="15"/>
      <c r="B113" s="15"/>
      <c r="C113" s="25"/>
      <c r="D113" s="26" t="str">
        <f>IF(A113="","",IF(ISNUMBER(C113),C113,IF(AND(ISNUMBER(B113),ISNUMBER(Dashboard!$C$3)),DATE(YEAR(Dashboard!$C$3),MONTH(Dashboard!$C$3)-INT(B113),DAY(Dashboard!$C$3)-ROUND(MOD(B113,1)*28,0)),"")))</f>
        <v/>
      </c>
      <c r="E113" s="15"/>
      <c r="F113" s="32" t="str">
        <f t="shared" ca="1" si="3"/>
        <v/>
      </c>
      <c r="G113" s="15"/>
    </row>
    <row r="114" spans="1:7" x14ac:dyDescent="0.35">
      <c r="A114" s="15"/>
      <c r="B114" s="15"/>
      <c r="C114" s="25"/>
      <c r="D114" s="26" t="str">
        <f>IF(A114="","",IF(ISNUMBER(C114),C114,IF(AND(ISNUMBER(B114),ISNUMBER(Dashboard!$C$3)),DATE(YEAR(Dashboard!$C$3),MONTH(Dashboard!$C$3)-INT(B114),DAY(Dashboard!$C$3)-ROUND(MOD(B114,1)*28,0)),"")))</f>
        <v/>
      </c>
      <c r="E114" s="15"/>
      <c r="F114" s="32" t="str">
        <f t="shared" ca="1" si="3"/>
        <v/>
      </c>
      <c r="G114" s="15"/>
    </row>
    <row r="115" spans="1:7" x14ac:dyDescent="0.35">
      <c r="A115" s="15"/>
      <c r="B115" s="15"/>
      <c r="C115" s="25"/>
      <c r="D115" s="26" t="str">
        <f>IF(A115="","",IF(ISNUMBER(C115),C115,IF(AND(ISNUMBER(B115),ISNUMBER(Dashboard!$C$3)),DATE(YEAR(Dashboard!$C$3),MONTH(Dashboard!$C$3)-INT(B115),DAY(Dashboard!$C$3)-ROUND(MOD(B115,1)*28,0)),"")))</f>
        <v/>
      </c>
      <c r="E115" s="15"/>
      <c r="F115" s="32" t="str">
        <f t="shared" ca="1" si="3"/>
        <v/>
      </c>
      <c r="G115" s="15"/>
    </row>
    <row r="116" spans="1:7" x14ac:dyDescent="0.35">
      <c r="A116" s="15"/>
      <c r="B116" s="15"/>
      <c r="C116" s="25"/>
      <c r="D116" s="26" t="str">
        <f>IF(A116="","",IF(ISNUMBER(C116),C116,IF(AND(ISNUMBER(B116),ISNUMBER(Dashboard!$C$3)),DATE(YEAR(Dashboard!$C$3),MONTH(Dashboard!$C$3)-INT(B116),DAY(Dashboard!$C$3)-ROUND(MOD(B116,1)*28,0)),"")))</f>
        <v/>
      </c>
      <c r="E116" s="15"/>
      <c r="F116" s="32" t="str">
        <f t="shared" ca="1" si="3"/>
        <v/>
      </c>
      <c r="G116" s="15"/>
    </row>
    <row r="117" spans="1:7" x14ac:dyDescent="0.35">
      <c r="A117" s="15"/>
      <c r="B117" s="15"/>
      <c r="C117" s="25"/>
      <c r="D117" s="26" t="str">
        <f>IF(A117="","",IF(ISNUMBER(C117),C117,IF(AND(ISNUMBER(B117),ISNUMBER(Dashboard!$C$3)),DATE(YEAR(Dashboard!$C$3),MONTH(Dashboard!$C$3)-INT(B117),DAY(Dashboard!$C$3)-ROUND(MOD(B117,1)*28,0)),"")))</f>
        <v/>
      </c>
      <c r="E117" s="15"/>
      <c r="F117" s="32" t="str">
        <f t="shared" ca="1" si="3"/>
        <v/>
      </c>
      <c r="G117" s="15"/>
    </row>
    <row r="118" spans="1:7" x14ac:dyDescent="0.35">
      <c r="A118" s="15"/>
      <c r="B118" s="15"/>
      <c r="C118" s="25"/>
      <c r="D118" s="26" t="str">
        <f>IF(A118="","",IF(ISNUMBER(C118),C118,IF(AND(ISNUMBER(B118),ISNUMBER(Dashboard!$C$3)),DATE(YEAR(Dashboard!$C$3),MONTH(Dashboard!$C$3)-INT(B118),DAY(Dashboard!$C$3)-ROUND(MOD(B118,1)*28,0)),"")))</f>
        <v/>
      </c>
      <c r="E118" s="15"/>
      <c r="F118" s="32" t="str">
        <f t="shared" ca="1" si="3"/>
        <v/>
      </c>
      <c r="G118" s="15"/>
    </row>
    <row r="119" spans="1:7" x14ac:dyDescent="0.35">
      <c r="A119" s="15"/>
      <c r="B119" s="15"/>
      <c r="C119" s="25"/>
      <c r="D119" s="26" t="str">
        <f>IF(A119="","",IF(ISNUMBER(C119),C119,IF(AND(ISNUMBER(B119),ISNUMBER(Dashboard!$C$3)),DATE(YEAR(Dashboard!$C$3),MONTH(Dashboard!$C$3)-INT(B119),DAY(Dashboard!$C$3)-ROUND(MOD(B119,1)*28,0)),"")))</f>
        <v/>
      </c>
      <c r="E119" s="15"/>
      <c r="F119" s="32" t="str">
        <f t="shared" ca="1" si="3"/>
        <v/>
      </c>
      <c r="G119" s="15"/>
    </row>
    <row r="120" spans="1:7" x14ac:dyDescent="0.35">
      <c r="A120" s="15"/>
      <c r="B120" s="15"/>
      <c r="C120" s="25"/>
      <c r="D120" s="26" t="str">
        <f>IF(A120="","",IF(ISNUMBER(C120),C120,IF(AND(ISNUMBER(B120),ISNUMBER(Dashboard!$C$3)),DATE(YEAR(Dashboard!$C$3),MONTH(Dashboard!$C$3)-INT(B120),DAY(Dashboard!$C$3)-ROUND(MOD(B120,1)*28,0)),"")))</f>
        <v/>
      </c>
      <c r="E120" s="15"/>
      <c r="F120" s="32" t="str">
        <f t="shared" ca="1" si="3"/>
        <v/>
      </c>
      <c r="G120" s="15"/>
    </row>
    <row r="121" spans="1:7" x14ac:dyDescent="0.35">
      <c r="A121" s="15"/>
      <c r="B121" s="15"/>
      <c r="C121" s="25"/>
      <c r="D121" s="26" t="str">
        <f>IF(A121="","",IF(ISNUMBER(C121),C121,IF(AND(ISNUMBER(B121),ISNUMBER(Dashboard!$C$3)),DATE(YEAR(Dashboard!$C$3),MONTH(Dashboard!$C$3)-INT(B121),DAY(Dashboard!$C$3)-ROUND(MOD(B121,1)*28,0)),"")))</f>
        <v/>
      </c>
      <c r="E121" s="15"/>
      <c r="F121" s="32" t="str">
        <f t="shared" ca="1" si="3"/>
        <v/>
      </c>
      <c r="G121" s="15"/>
    </row>
    <row r="122" spans="1:7" x14ac:dyDescent="0.35">
      <c r="A122" s="15"/>
      <c r="B122" s="15"/>
      <c r="C122" s="25"/>
      <c r="D122" s="26" t="str">
        <f>IF(A122="","",IF(ISNUMBER(C122),C122,IF(AND(ISNUMBER(B122),ISNUMBER(Dashboard!$C$3)),DATE(YEAR(Dashboard!$C$3),MONTH(Dashboard!$C$3)-INT(B122),DAY(Dashboard!$C$3)-ROUND(MOD(B122,1)*28,0)),"")))</f>
        <v/>
      </c>
      <c r="E122" s="15"/>
      <c r="F122" s="32" t="str">
        <f t="shared" ca="1" si="3"/>
        <v/>
      </c>
      <c r="G122" s="15"/>
    </row>
    <row r="123" spans="1:7" x14ac:dyDescent="0.35">
      <c r="A123" s="15"/>
      <c r="B123" s="15"/>
      <c r="C123" s="25"/>
      <c r="D123" s="26" t="str">
        <f>IF(A123="","",IF(ISNUMBER(C123),C123,IF(AND(ISNUMBER(B123),ISNUMBER(Dashboard!$C$3)),DATE(YEAR(Dashboard!$C$3),MONTH(Dashboard!$C$3)-INT(B123),DAY(Dashboard!$C$3)-ROUND(MOD(B123,1)*28,0)),"")))</f>
        <v/>
      </c>
      <c r="E123" s="15"/>
      <c r="F123" s="32" t="str">
        <f t="shared" ca="1" si="3"/>
        <v/>
      </c>
      <c r="G123" s="15"/>
    </row>
    <row r="124" spans="1:7" x14ac:dyDescent="0.35">
      <c r="A124" s="15"/>
      <c r="B124" s="15"/>
      <c r="C124" s="25"/>
      <c r="D124" s="26" t="str">
        <f>IF(A124="","",IF(ISNUMBER(C124),C124,IF(AND(ISNUMBER(B124),ISNUMBER(Dashboard!$C$3)),DATE(YEAR(Dashboard!$C$3),MONTH(Dashboard!$C$3)-INT(B124),DAY(Dashboard!$C$3)-ROUND(MOD(B124,1)*28,0)),"")))</f>
        <v/>
      </c>
      <c r="E124" s="15"/>
      <c r="F124" s="32" t="str">
        <f t="shared" ca="1" si="3"/>
        <v/>
      </c>
      <c r="G124" s="15"/>
    </row>
  </sheetData>
  <conditionalFormatting sqref="A5:A124">
    <cfRule type="expression" dxfId="4" priority="1">
      <formula>AND(A5="",OR(B5&lt;&gt;"",C5&lt;&gt;"",E5&lt;&gt;""))</formula>
    </cfRule>
  </conditionalFormatting>
  <conditionalFormatting sqref="A5:G124">
    <cfRule type="expression" dxfId="3" priority="4">
      <formula>$F5="OVERDUE"</formula>
    </cfRule>
    <cfRule type="expression" dxfId="2" priority="5">
      <formula>$F5="Done"</formula>
    </cfRule>
  </conditionalFormatting>
  <conditionalFormatting sqref="B5:C124">
    <cfRule type="expression" dxfId="1" priority="2">
      <formula>AND(B5&lt;&gt;"",NOT(ISNUMBER(B5)))</formula>
    </cfRule>
  </conditionalFormatting>
  <conditionalFormatting sqref="E5:E124">
    <cfRule type="expression" dxfId="0" priority="3">
      <formula>AND(E5&lt;&gt;"",E5&lt;&gt;"Yes")</formula>
    </cfRule>
  </conditionalFormatting>
  <dataValidations count="3">
    <dataValidation type="decimal" allowBlank="1" showErrorMessage="1" errorTitle="Months before" error="Enter a number of months, e.g. 6 (0.5 = 2 weeks, -1 = a month after)." sqref="B5:B124" xr:uid="{00000000-0002-0000-0600-000000000000}">
      <formula1>-24</formula1>
      <formula2>60</formula2>
    </dataValidation>
    <dataValidation type="date" operator="greaterThan" allowBlank="1" showErrorMessage="1" errorTitle="Date" error="Enter a real date, e.g. 3/15/2027." sqref="C5:C124" xr:uid="{00000000-0002-0000-0600-000001000000}">
      <formula1>1</formula1>
    </dataValidation>
    <dataValidation type="list" allowBlank="1" showErrorMessage="1" error="Choose Yes when the task is done, or leave blank." sqref="E5:E124" xr:uid="{00000000-0002-0000-0600-000002000000}">
      <formula1>"Yes"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A4A5A"/>
  </sheetPr>
  <dimension ref="A1:I41"/>
  <sheetViews>
    <sheetView workbookViewId="0"/>
  </sheetViews>
  <sheetFormatPr defaultRowHeight="14.5" x14ac:dyDescent="0.35"/>
  <sheetData>
    <row r="1" spans="1:9" x14ac:dyDescent="0.3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122</v>
      </c>
      <c r="I1" t="s">
        <v>233</v>
      </c>
    </row>
    <row r="2" spans="1:9" x14ac:dyDescent="0.35">
      <c r="A2" t="str">
        <f>IF(Budget!A7="","[empty slot 1]",Budget!A7)</f>
        <v>Venue</v>
      </c>
      <c r="B2" t="str">
        <f>IF(Budget!A7="","",Budget!A7)</f>
        <v>Venue</v>
      </c>
      <c r="C2" t="str">
        <f>IF(Vendors!A5="","[empty vendor 1]",Vendors!A5)</f>
        <v>EXAMPLE Venue</v>
      </c>
      <c r="D2" t="str">
        <f>IF(Vendors!A5="","",Vendors!A5)</f>
        <v>EXAMPLE Venue</v>
      </c>
      <c r="E2" t="s">
        <v>47</v>
      </c>
      <c r="F2" t="s">
        <v>234</v>
      </c>
      <c r="G2" t="s">
        <v>132</v>
      </c>
      <c r="H2" t="s">
        <v>132</v>
      </c>
      <c r="I2" t="s">
        <v>132</v>
      </c>
    </row>
    <row r="3" spans="1:9" x14ac:dyDescent="0.35">
      <c r="A3" t="str">
        <f>IF(Budget!A8="","[empty slot 2]",Budget!A8)</f>
        <v>Catering &amp; bar</v>
      </c>
      <c r="B3" t="str">
        <f>IF(Budget!A8="","",Budget!A8)</f>
        <v>Catering &amp; bar</v>
      </c>
      <c r="C3" t="str">
        <f>IF(Vendors!A6="","[empty vendor 2]",Vendors!A6)</f>
        <v>[empty vendor 2]</v>
      </c>
      <c r="D3" t="str">
        <f>IF(Vendors!A6="","",Vendors!A6)</f>
        <v/>
      </c>
      <c r="E3" t="s">
        <v>54</v>
      </c>
      <c r="F3" t="s">
        <v>115</v>
      </c>
      <c r="G3" t="s">
        <v>140</v>
      </c>
      <c r="H3" t="s">
        <v>140</v>
      </c>
    </row>
    <row r="4" spans="1:9" x14ac:dyDescent="0.35">
      <c r="A4" t="str">
        <f>IF(Budget!A9="","[empty slot 3]",Budget!A9)</f>
        <v>Photography</v>
      </c>
      <c r="B4" t="str">
        <f>IF(Budget!A9="","",Budget!A9)</f>
        <v>Photography</v>
      </c>
      <c r="C4" t="str">
        <f>IF(Vendors!A7="","[empty vendor 3]",Vendors!A7)</f>
        <v>[empty vendor 3]</v>
      </c>
      <c r="D4" t="str">
        <f>IF(Vendors!A7="","",Vendors!A7)</f>
        <v/>
      </c>
      <c r="F4" t="s">
        <v>235</v>
      </c>
      <c r="H4" t="s">
        <v>139</v>
      </c>
    </row>
    <row r="5" spans="1:9" x14ac:dyDescent="0.35">
      <c r="A5" t="str">
        <f>IF(Budget!A10="","[empty slot 4]",Budget!A10)</f>
        <v>Videography</v>
      </c>
      <c r="B5" t="str">
        <f>IF(Budget!A10="","",Budget!A10)</f>
        <v>Videography</v>
      </c>
      <c r="C5" t="str">
        <f>IF(Vendors!A8="","[empty vendor 4]",Vendors!A8)</f>
        <v>[empty vendor 4]</v>
      </c>
      <c r="D5" t="str">
        <f>IF(Vendors!A8="","",Vendors!A8)</f>
        <v/>
      </c>
      <c r="F5" t="s">
        <v>236</v>
      </c>
    </row>
    <row r="6" spans="1:9" x14ac:dyDescent="0.35">
      <c r="A6" t="str">
        <f>IF(Budget!A11="","[empty slot 5]",Budget!A11)</f>
        <v>Attire</v>
      </c>
      <c r="B6" t="str">
        <f>IF(Budget!A11="","",Budget!A11)</f>
        <v>Attire</v>
      </c>
      <c r="C6" t="str">
        <f>IF(Vendors!A9="","[empty vendor 5]",Vendors!A9)</f>
        <v>[empty vendor 5]</v>
      </c>
      <c r="D6" t="str">
        <f>IF(Vendors!A9="","",Vendors!A9)</f>
        <v/>
      </c>
    </row>
    <row r="7" spans="1:9" x14ac:dyDescent="0.35">
      <c r="A7" t="str">
        <f>IF(Budget!A12="","[empty slot 6]",Budget!A12)</f>
        <v>Hair &amp; makeup</v>
      </c>
      <c r="B7" t="str">
        <f>IF(Budget!A12="","",Budget!A12)</f>
        <v>Hair &amp; makeup</v>
      </c>
      <c r="C7" t="str">
        <f>IF(Vendors!A10="","[empty vendor 6]",Vendors!A10)</f>
        <v>[empty vendor 6]</v>
      </c>
      <c r="D7" t="str">
        <f>IF(Vendors!A10="","",Vendors!A10)</f>
        <v/>
      </c>
    </row>
    <row r="8" spans="1:9" x14ac:dyDescent="0.35">
      <c r="A8" t="str">
        <f>IF(Budget!A13="","[empty slot 7]",Budget!A13)</f>
        <v>Flowers &amp; decor</v>
      </c>
      <c r="B8" t="str">
        <f>IF(Budget!A13="","",Budget!A13)</f>
        <v>Flowers &amp; decor</v>
      </c>
      <c r="C8" t="str">
        <f>IF(Vendors!A11="","[empty vendor 7]",Vendors!A11)</f>
        <v>[empty vendor 7]</v>
      </c>
      <c r="D8" t="str">
        <f>IF(Vendors!A11="","",Vendors!A11)</f>
        <v/>
      </c>
    </row>
    <row r="9" spans="1:9" x14ac:dyDescent="0.35">
      <c r="A9" t="str">
        <f>IF(Budget!A14="","[empty slot 8]",Budget!A14)</f>
        <v>Music &amp; entertainment</v>
      </c>
      <c r="B9" t="str">
        <f>IF(Budget!A14="","",Budget!A14)</f>
        <v>Music &amp; entertainment</v>
      </c>
      <c r="C9" t="str">
        <f>IF(Vendors!A12="","[empty vendor 8]",Vendors!A12)</f>
        <v>[empty vendor 8]</v>
      </c>
      <c r="D9" t="str">
        <f>IF(Vendors!A12="","",Vendors!A12)</f>
        <v/>
      </c>
    </row>
    <row r="10" spans="1:9" x14ac:dyDescent="0.35">
      <c r="A10" t="str">
        <f>IF(Budget!A15="","[empty slot 9]",Budget!A15)</f>
        <v>Wedding planner</v>
      </c>
      <c r="B10" t="str">
        <f>IF(Budget!A15="","",Budget!A15)</f>
        <v>Wedding planner</v>
      </c>
      <c r="C10" t="str">
        <f>IF(Vendors!A13="","[empty vendor 9]",Vendors!A13)</f>
        <v>[empty vendor 9]</v>
      </c>
      <c r="D10" t="str">
        <f>IF(Vendors!A13="","",Vendors!A13)</f>
        <v/>
      </c>
    </row>
    <row r="11" spans="1:9" x14ac:dyDescent="0.35">
      <c r="A11" t="str">
        <f>IF(Budget!A16="","[empty slot 10]",Budget!A16)</f>
        <v>Rings</v>
      </c>
      <c r="B11" t="str">
        <f>IF(Budget!A16="","",Budget!A16)</f>
        <v>Rings</v>
      </c>
      <c r="C11" t="str">
        <f>IF(Vendors!A14="","[empty vendor 10]",Vendors!A14)</f>
        <v>[empty vendor 10]</v>
      </c>
      <c r="D11" t="str">
        <f>IF(Vendors!A14="","",Vendors!A14)</f>
        <v/>
      </c>
    </row>
    <row r="12" spans="1:9" x14ac:dyDescent="0.35">
      <c r="A12" t="str">
        <f>IF(Budget!A17="","[empty slot 11]",Budget!A17)</f>
        <v>Cake &amp; desserts</v>
      </c>
      <c r="B12" t="str">
        <f>IF(Budget!A17="","",Budget!A17)</f>
        <v>Cake &amp; desserts</v>
      </c>
      <c r="C12" t="str">
        <f>IF(Vendors!A15="","[empty vendor 11]",Vendors!A15)</f>
        <v>[empty vendor 11]</v>
      </c>
      <c r="D12" t="str">
        <f>IF(Vendors!A15="","",Vendors!A15)</f>
        <v/>
      </c>
    </row>
    <row r="13" spans="1:9" x14ac:dyDescent="0.35">
      <c r="A13" t="str">
        <f>IF(Budget!A18="","[empty slot 12]",Budget!A18)</f>
        <v>Stationery</v>
      </c>
      <c r="B13" t="str">
        <f>IF(Budget!A18="","",Budget!A18)</f>
        <v>Stationery</v>
      </c>
      <c r="C13" t="str">
        <f>IF(Vendors!A16="","[empty vendor 12]",Vendors!A16)</f>
        <v>[empty vendor 12]</v>
      </c>
      <c r="D13" t="str">
        <f>IF(Vendors!A16="","",Vendors!A16)</f>
        <v/>
      </c>
    </row>
    <row r="14" spans="1:9" x14ac:dyDescent="0.35">
      <c r="A14" t="str">
        <f>IF(Budget!A19="","[empty slot 13]",Budget!A19)</f>
        <v>Rentals</v>
      </c>
      <c r="B14" t="str">
        <f>IF(Budget!A19="","",Budget!A19)</f>
        <v>Rentals</v>
      </c>
      <c r="C14" t="str">
        <f>IF(Vendors!A17="","[empty vendor 13]",Vendors!A17)</f>
        <v>[empty vendor 13]</v>
      </c>
      <c r="D14" t="str">
        <f>IF(Vendors!A17="","",Vendors!A17)</f>
        <v/>
      </c>
    </row>
    <row r="15" spans="1:9" x14ac:dyDescent="0.35">
      <c r="A15" t="str">
        <f>IF(Budget!A20="","[empty slot 14]",Budget!A20)</f>
        <v>Transportation</v>
      </c>
      <c r="B15" t="str">
        <f>IF(Budget!A20="","",Budget!A20)</f>
        <v>Transportation</v>
      </c>
      <c r="C15" t="str">
        <f>IF(Vendors!A18="","[empty vendor 14]",Vendors!A18)</f>
        <v>[empty vendor 14]</v>
      </c>
      <c r="D15" t="str">
        <f>IF(Vendors!A18="","",Vendors!A18)</f>
        <v/>
      </c>
    </row>
    <row r="16" spans="1:9" x14ac:dyDescent="0.35">
      <c r="A16" t="str">
        <f>IF(Budget!A21="","[empty slot 15]",Budget!A21)</f>
        <v>Favors &amp; gifts</v>
      </c>
      <c r="B16" t="str">
        <f>IF(Budget!A21="","",Budget!A21)</f>
        <v>Favors &amp; gifts</v>
      </c>
      <c r="C16" t="str">
        <f>IF(Vendors!A19="","[empty vendor 15]",Vendors!A19)</f>
        <v>[empty vendor 15]</v>
      </c>
      <c r="D16" t="str">
        <f>IF(Vendors!A19="","",Vendors!A19)</f>
        <v/>
      </c>
    </row>
    <row r="17" spans="1:4" x14ac:dyDescent="0.35">
      <c r="A17" t="str">
        <f>IF(Budget!A22="","[empty slot 16]",Budget!A22)</f>
        <v>Officiant &amp; license</v>
      </c>
      <c r="B17" t="str">
        <f>IF(Budget!A22="","",Budget!A22)</f>
        <v>Officiant &amp; license</v>
      </c>
      <c r="C17" t="str">
        <f>IF(Vendors!A20="","[empty vendor 16]",Vendors!A20)</f>
        <v>[empty vendor 16]</v>
      </c>
      <c r="D17" t="str">
        <f>IF(Vendors!A20="","",Vendors!A20)</f>
        <v/>
      </c>
    </row>
    <row r="18" spans="1:4" x14ac:dyDescent="0.35">
      <c r="A18" t="str">
        <f>IF(Budget!A23="","[empty slot 17]",Budget!A23)</f>
        <v>Contingency / other</v>
      </c>
      <c r="B18" t="str">
        <f>IF(Budget!A23="","",Budget!A23)</f>
        <v>Contingency / other</v>
      </c>
      <c r="C18" t="str">
        <f>IF(Vendors!A21="","[empty vendor 17]",Vendors!A21)</f>
        <v>[empty vendor 17]</v>
      </c>
      <c r="D18" t="str">
        <f>IF(Vendors!A21="","",Vendors!A21)</f>
        <v/>
      </c>
    </row>
    <row r="19" spans="1:4" x14ac:dyDescent="0.35">
      <c r="A19" t="str">
        <f>IF(Budget!A24="","[empty slot 18]",Budget!A24)</f>
        <v>[empty slot 18]</v>
      </c>
      <c r="B19" t="str">
        <f>IF(Budget!A24="","",Budget!A24)</f>
        <v/>
      </c>
      <c r="C19" t="str">
        <f>IF(Vendors!A22="","[empty vendor 18]",Vendors!A22)</f>
        <v>[empty vendor 18]</v>
      </c>
      <c r="D19" t="str">
        <f>IF(Vendors!A22="","",Vendors!A22)</f>
        <v/>
      </c>
    </row>
    <row r="20" spans="1:4" x14ac:dyDescent="0.35">
      <c r="A20" t="str">
        <f>IF(Budget!A25="","[empty slot 19]",Budget!A25)</f>
        <v>[empty slot 19]</v>
      </c>
      <c r="B20" t="str">
        <f>IF(Budget!A25="","",Budget!A25)</f>
        <v/>
      </c>
      <c r="C20" t="str">
        <f>IF(Vendors!A23="","[empty vendor 19]",Vendors!A23)</f>
        <v>[empty vendor 19]</v>
      </c>
      <c r="D20" t="str">
        <f>IF(Vendors!A23="","",Vendors!A23)</f>
        <v/>
      </c>
    </row>
    <row r="21" spans="1:4" x14ac:dyDescent="0.35">
      <c r="A21" t="str">
        <f>IF(Budget!A26="","[empty slot 20]",Budget!A26)</f>
        <v>[empty slot 20]</v>
      </c>
      <c r="B21" t="str">
        <f>IF(Budget!A26="","",Budget!A26)</f>
        <v/>
      </c>
      <c r="C21" t="str">
        <f>IF(Vendors!A24="","[empty vendor 20]",Vendors!A24)</f>
        <v>[empty vendor 20]</v>
      </c>
      <c r="D21" t="str">
        <f>IF(Vendors!A24="","",Vendors!A24)</f>
        <v/>
      </c>
    </row>
    <row r="22" spans="1:4" x14ac:dyDescent="0.35">
      <c r="C22" t="str">
        <f>IF(Vendors!A25="","[empty vendor 21]",Vendors!A25)</f>
        <v>[empty vendor 21]</v>
      </c>
      <c r="D22" t="str">
        <f>IF(Vendors!A25="","",Vendors!A25)</f>
        <v/>
      </c>
    </row>
    <row r="23" spans="1:4" x14ac:dyDescent="0.35">
      <c r="C23" t="str">
        <f>IF(Vendors!A26="","[empty vendor 22]",Vendors!A26)</f>
        <v>[empty vendor 22]</v>
      </c>
      <c r="D23" t="str">
        <f>IF(Vendors!A26="","",Vendors!A26)</f>
        <v/>
      </c>
    </row>
    <row r="24" spans="1:4" x14ac:dyDescent="0.35">
      <c r="C24" t="str">
        <f>IF(Vendors!A27="","[empty vendor 23]",Vendors!A27)</f>
        <v>[empty vendor 23]</v>
      </c>
      <c r="D24" t="str">
        <f>IF(Vendors!A27="","",Vendors!A27)</f>
        <v/>
      </c>
    </row>
    <row r="25" spans="1:4" x14ac:dyDescent="0.35">
      <c r="C25" t="str">
        <f>IF(Vendors!A28="","[empty vendor 24]",Vendors!A28)</f>
        <v>[empty vendor 24]</v>
      </c>
      <c r="D25" t="str">
        <f>IF(Vendors!A28="","",Vendors!A28)</f>
        <v/>
      </c>
    </row>
    <row r="26" spans="1:4" x14ac:dyDescent="0.35">
      <c r="C26" t="str">
        <f>IF(Vendors!A29="","[empty vendor 25]",Vendors!A29)</f>
        <v>[empty vendor 25]</v>
      </c>
      <c r="D26" t="str">
        <f>IF(Vendors!A29="","",Vendors!A29)</f>
        <v/>
      </c>
    </row>
    <row r="27" spans="1:4" x14ac:dyDescent="0.35">
      <c r="C27" t="str">
        <f>IF(Vendors!A30="","[empty vendor 26]",Vendors!A30)</f>
        <v>[empty vendor 26]</v>
      </c>
      <c r="D27" t="str">
        <f>IF(Vendors!A30="","",Vendors!A30)</f>
        <v/>
      </c>
    </row>
    <row r="28" spans="1:4" x14ac:dyDescent="0.35">
      <c r="C28" t="str">
        <f>IF(Vendors!A31="","[empty vendor 27]",Vendors!A31)</f>
        <v>[empty vendor 27]</v>
      </c>
      <c r="D28" t="str">
        <f>IF(Vendors!A31="","",Vendors!A31)</f>
        <v/>
      </c>
    </row>
    <row r="29" spans="1:4" x14ac:dyDescent="0.35">
      <c r="C29" t="str">
        <f>IF(Vendors!A32="","[empty vendor 28]",Vendors!A32)</f>
        <v>[empty vendor 28]</v>
      </c>
      <c r="D29" t="str">
        <f>IF(Vendors!A32="","",Vendors!A32)</f>
        <v/>
      </c>
    </row>
    <row r="30" spans="1:4" x14ac:dyDescent="0.35">
      <c r="C30" t="str">
        <f>IF(Vendors!A33="","[empty vendor 29]",Vendors!A33)</f>
        <v>[empty vendor 29]</v>
      </c>
      <c r="D30" t="str">
        <f>IF(Vendors!A33="","",Vendors!A33)</f>
        <v/>
      </c>
    </row>
    <row r="31" spans="1:4" x14ac:dyDescent="0.35">
      <c r="C31" t="str">
        <f>IF(Vendors!A34="","[empty vendor 30]",Vendors!A34)</f>
        <v>[empty vendor 30]</v>
      </c>
      <c r="D31" t="str">
        <f>IF(Vendors!A34="","",Vendors!A34)</f>
        <v/>
      </c>
    </row>
    <row r="32" spans="1:4" x14ac:dyDescent="0.35">
      <c r="C32" t="str">
        <f>IF(Vendors!A35="","[empty vendor 31]",Vendors!A35)</f>
        <v>[empty vendor 31]</v>
      </c>
      <c r="D32" t="str">
        <f>IF(Vendors!A35="","",Vendors!A35)</f>
        <v/>
      </c>
    </row>
    <row r="33" spans="3:4" x14ac:dyDescent="0.35">
      <c r="C33" t="str">
        <f>IF(Vendors!A36="","[empty vendor 32]",Vendors!A36)</f>
        <v>[empty vendor 32]</v>
      </c>
      <c r="D33" t="str">
        <f>IF(Vendors!A36="","",Vendors!A36)</f>
        <v/>
      </c>
    </row>
    <row r="34" spans="3:4" x14ac:dyDescent="0.35">
      <c r="C34" t="str">
        <f>IF(Vendors!A37="","[empty vendor 33]",Vendors!A37)</f>
        <v>[empty vendor 33]</v>
      </c>
      <c r="D34" t="str">
        <f>IF(Vendors!A37="","",Vendors!A37)</f>
        <v/>
      </c>
    </row>
    <row r="35" spans="3:4" x14ac:dyDescent="0.35">
      <c r="C35" t="str">
        <f>IF(Vendors!A38="","[empty vendor 34]",Vendors!A38)</f>
        <v>[empty vendor 34]</v>
      </c>
      <c r="D35" t="str">
        <f>IF(Vendors!A38="","",Vendors!A38)</f>
        <v/>
      </c>
    </row>
    <row r="36" spans="3:4" x14ac:dyDescent="0.35">
      <c r="C36" t="str">
        <f>IF(Vendors!A39="","[empty vendor 35]",Vendors!A39)</f>
        <v>[empty vendor 35]</v>
      </c>
      <c r="D36" t="str">
        <f>IF(Vendors!A39="","",Vendors!A39)</f>
        <v/>
      </c>
    </row>
    <row r="37" spans="3:4" x14ac:dyDescent="0.35">
      <c r="C37" t="str">
        <f>IF(Vendors!A40="","[empty vendor 36]",Vendors!A40)</f>
        <v>[empty vendor 36]</v>
      </c>
      <c r="D37" t="str">
        <f>IF(Vendors!A40="","",Vendors!A40)</f>
        <v/>
      </c>
    </row>
    <row r="38" spans="3:4" x14ac:dyDescent="0.35">
      <c r="C38" t="str">
        <f>IF(Vendors!A41="","[empty vendor 37]",Vendors!A41)</f>
        <v>[empty vendor 37]</v>
      </c>
      <c r="D38" t="str">
        <f>IF(Vendors!A41="","",Vendors!A41)</f>
        <v/>
      </c>
    </row>
    <row r="39" spans="3:4" x14ac:dyDescent="0.35">
      <c r="C39" t="str">
        <f>IF(Vendors!A42="","[empty vendor 38]",Vendors!A42)</f>
        <v>[empty vendor 38]</v>
      </c>
      <c r="D39" t="str">
        <f>IF(Vendors!A42="","",Vendors!A42)</f>
        <v/>
      </c>
    </row>
    <row r="40" spans="3:4" x14ac:dyDescent="0.35">
      <c r="C40" t="str">
        <f>IF(Vendors!A43="","[empty vendor 39]",Vendors!A43)</f>
        <v>[empty vendor 39]</v>
      </c>
      <c r="D40" t="str">
        <f>IF(Vendors!A43="","",Vendors!A43)</f>
        <v/>
      </c>
    </row>
    <row r="41" spans="3:4" x14ac:dyDescent="0.35">
      <c r="C41" t="str">
        <f>IF(Vendors!A44="","[empty vendor 40]",Vendors!A44)</f>
        <v>[empty vendor 40]</v>
      </c>
      <c r="D41" t="str">
        <f>IF(Vendors!A44="","",Vendors!A44)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A4A5A"/>
  </sheetPr>
  <dimension ref="B2:G118"/>
  <sheetViews>
    <sheetView workbookViewId="0"/>
  </sheetViews>
  <sheetFormatPr defaultRowHeight="14.5" x14ac:dyDescent="0.35"/>
  <sheetData>
    <row r="2" spans="2:6" x14ac:dyDescent="0.35">
      <c r="B2" t="s">
        <v>30</v>
      </c>
      <c r="C2" t="s">
        <v>31</v>
      </c>
      <c r="D2" t="s">
        <v>32</v>
      </c>
      <c r="E2" t="s">
        <v>47</v>
      </c>
      <c r="F2" t="s">
        <v>54</v>
      </c>
    </row>
    <row r="3" spans="2:6" x14ac:dyDescent="0.35">
      <c r="B3" t="str">
        <f>IF(Budget!A7="","",Budget!A7)</f>
        <v>Venue</v>
      </c>
      <c r="C3">
        <f>N(Budget!E7)</f>
        <v>6000</v>
      </c>
      <c r="D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$2),Payments!$E$5:$E$504)</f>
        <v>12000</v>
      </c>
      <c r="E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$2)*(Payments!$F$5:$F$504="Paid"),Payments!$E$5:$E$504)</f>
        <v>3000</v>
      </c>
      <c r="F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$2)*(Payments!$F$5:$F$504="Owed"),Payments!$E$5:$E$504)</f>
        <v>9000</v>
      </c>
    </row>
    <row r="4" spans="2:6" x14ac:dyDescent="0.35">
      <c r="B4" t="str">
        <f>IF(Budget!A8="","",Budget!A8)</f>
        <v>Catering &amp; bar</v>
      </c>
      <c r="C4">
        <f>N(Budget!E8)</f>
        <v>7500</v>
      </c>
      <c r="D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$3),Payments!$E$5:$E$504)</f>
        <v>0</v>
      </c>
      <c r="E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$3)*(Payments!$F$5:$F$504="Paid"),Payments!$E$5:$E$504)</f>
        <v>0</v>
      </c>
      <c r="F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$3)*(Payments!$F$5:$F$504="Owed"),Payments!$E$5:$E$504)</f>
        <v>0</v>
      </c>
    </row>
    <row r="5" spans="2:6" x14ac:dyDescent="0.35">
      <c r="B5" t="str">
        <f>IF(Budget!A9="","",Budget!A9)</f>
        <v>Photography</v>
      </c>
      <c r="C5">
        <f>N(Budget!E9)</f>
        <v>3000</v>
      </c>
      <c r="D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$4),Payments!$E$5:$E$504)</f>
        <v>0</v>
      </c>
      <c r="E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$4)*(Payments!$F$5:$F$504="Paid"),Payments!$E$5:$E$504)</f>
        <v>0</v>
      </c>
      <c r="F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$4)*(Payments!$F$5:$F$504="Owed"),Payments!$E$5:$E$504)</f>
        <v>0</v>
      </c>
    </row>
    <row r="6" spans="2:6" x14ac:dyDescent="0.35">
      <c r="B6" t="str">
        <f>IF(Budget!A10="","",Budget!A10)</f>
        <v>Videography</v>
      </c>
      <c r="C6">
        <f>N(Budget!E10)</f>
        <v>1200</v>
      </c>
      <c r="D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$5),Payments!$E$5:$E$504)</f>
        <v>0</v>
      </c>
      <c r="E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$5)*(Payments!$F$5:$F$504="Paid"),Payments!$E$5:$E$504)</f>
        <v>0</v>
      </c>
      <c r="F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$5)*(Payments!$F$5:$F$504="Owed"),Payments!$E$5:$E$504)</f>
        <v>0</v>
      </c>
    </row>
    <row r="7" spans="2:6" x14ac:dyDescent="0.35">
      <c r="B7" t="str">
        <f>IF(Budget!A11="","",Budget!A11)</f>
        <v>Attire</v>
      </c>
      <c r="C7">
        <f>N(Budget!E11)</f>
        <v>1800</v>
      </c>
      <c r="D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$6),Payments!$E$5:$E$504)</f>
        <v>0</v>
      </c>
      <c r="E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$6)*(Payments!$F$5:$F$504="Paid"),Payments!$E$5:$E$504)</f>
        <v>0</v>
      </c>
      <c r="F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$6)*(Payments!$F$5:$F$504="Owed"),Payments!$E$5:$E$504)</f>
        <v>0</v>
      </c>
    </row>
    <row r="8" spans="2:6" x14ac:dyDescent="0.35">
      <c r="B8" t="str">
        <f>IF(Budget!A12="","",Budget!A12)</f>
        <v>Hair &amp; makeup</v>
      </c>
      <c r="C8">
        <f>N(Budget!E12)</f>
        <v>600</v>
      </c>
      <c r="D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$7),Payments!$E$5:$E$504)</f>
        <v>0</v>
      </c>
      <c r="E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$7)*(Payments!$F$5:$F$504="Paid"),Payments!$E$5:$E$504)</f>
        <v>0</v>
      </c>
      <c r="F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$7)*(Payments!$F$5:$F$504="Owed"),Payments!$E$5:$E$504)</f>
        <v>0</v>
      </c>
    </row>
    <row r="9" spans="2:6" x14ac:dyDescent="0.35">
      <c r="B9" t="str">
        <f>IF(Budget!A13="","",Budget!A13)</f>
        <v>Flowers &amp; decor</v>
      </c>
      <c r="C9">
        <f>N(Budget!E13)</f>
        <v>2400</v>
      </c>
      <c r="D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$8),Payments!$E$5:$E$504)</f>
        <v>0</v>
      </c>
      <c r="E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$8)*(Payments!$F$5:$F$504="Paid"),Payments!$E$5:$E$504)</f>
        <v>0</v>
      </c>
      <c r="F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$8)*(Payments!$F$5:$F$504="Owed"),Payments!$E$5:$E$504)</f>
        <v>0</v>
      </c>
    </row>
    <row r="10" spans="2:6" x14ac:dyDescent="0.35">
      <c r="B10" t="str">
        <f>IF(Budget!A14="","",Budget!A14)</f>
        <v>Music &amp; entertainment</v>
      </c>
      <c r="C10">
        <f>N(Budget!E14)</f>
        <v>1500</v>
      </c>
      <c r="D1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$9),Payments!$E$5:$E$504)</f>
        <v>0</v>
      </c>
      <c r="E1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$9)*(Payments!$F$5:$F$504="Paid"),Payments!$E$5:$E$504)</f>
        <v>0</v>
      </c>
      <c r="F1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$9)*(Payments!$F$5:$F$504="Owed"),Payments!$E$5:$E$504)</f>
        <v>0</v>
      </c>
    </row>
    <row r="11" spans="2:6" x14ac:dyDescent="0.35">
      <c r="B11" t="str">
        <f>IF(Budget!A15="","",Budget!A15)</f>
        <v>Wedding planner</v>
      </c>
      <c r="C11">
        <f>N(Budget!E15)</f>
        <v>900</v>
      </c>
      <c r="D1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$10),Payments!$E$5:$E$504)</f>
        <v>0</v>
      </c>
      <c r="E1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$10)*(Payments!$F$5:$F$504="Paid"),Payments!$E$5:$E$504)</f>
        <v>0</v>
      </c>
      <c r="F1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$10)*(Payments!$F$5:$F$504="Owed"),Payments!$E$5:$E$504)</f>
        <v>0</v>
      </c>
    </row>
    <row r="12" spans="2:6" x14ac:dyDescent="0.35">
      <c r="B12" t="str">
        <f>IF(Budget!A16="","",Budget!A16)</f>
        <v>Rings</v>
      </c>
      <c r="C12">
        <f>N(Budget!E16)</f>
        <v>900</v>
      </c>
      <c r="D1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$11),Payments!$E$5:$E$504)</f>
        <v>0</v>
      </c>
      <c r="E1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$11)*(Payments!$F$5:$F$504="Paid"),Payments!$E$5:$E$504)</f>
        <v>0</v>
      </c>
      <c r="F1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$11)*(Payments!$F$5:$F$504="Owed"),Payments!$E$5:$E$504)</f>
        <v>0</v>
      </c>
    </row>
    <row r="13" spans="2:6" x14ac:dyDescent="0.35">
      <c r="B13" t="str">
        <f>IF(Budget!A17="","",Budget!A17)</f>
        <v>Cake &amp; desserts</v>
      </c>
      <c r="C13">
        <f>N(Budget!E17)</f>
        <v>600</v>
      </c>
      <c r="D1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$12),Payments!$E$5:$E$504)</f>
        <v>0</v>
      </c>
      <c r="E1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$12)*(Payments!$F$5:$F$504="Paid"),Payments!$E$5:$E$504)</f>
        <v>0</v>
      </c>
      <c r="F1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$12)*(Payments!$F$5:$F$504="Owed"),Payments!$E$5:$E$504)</f>
        <v>0</v>
      </c>
    </row>
    <row r="14" spans="2:6" x14ac:dyDescent="0.35">
      <c r="B14" t="str">
        <f>IF(Budget!A18="","",Budget!A18)</f>
        <v>Stationery</v>
      </c>
      <c r="C14">
        <f>N(Budget!E18)</f>
        <v>600</v>
      </c>
      <c r="D1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$13),Payments!$E$5:$E$504)</f>
        <v>0</v>
      </c>
      <c r="E1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$13)*(Payments!$F$5:$F$504="Paid"),Payments!$E$5:$E$504)</f>
        <v>0</v>
      </c>
      <c r="F1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$13)*(Payments!$F$5:$F$504="Owed"),Payments!$E$5:$E$504)</f>
        <v>0</v>
      </c>
    </row>
    <row r="15" spans="2:6" x14ac:dyDescent="0.35">
      <c r="B15" t="str">
        <f>IF(Budget!A19="","",Budget!A19)</f>
        <v>Rentals</v>
      </c>
      <c r="C15">
        <f>N(Budget!E19)</f>
        <v>600</v>
      </c>
      <c r="D1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$14),Payments!$E$5:$E$504)</f>
        <v>0</v>
      </c>
      <c r="E1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$14)*(Payments!$F$5:$F$504="Paid"),Payments!$E$5:$E$504)</f>
        <v>0</v>
      </c>
      <c r="F1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$14)*(Payments!$F$5:$F$504="Owed"),Payments!$E$5:$E$504)</f>
        <v>0</v>
      </c>
    </row>
    <row r="16" spans="2:6" x14ac:dyDescent="0.35">
      <c r="B16" t="str">
        <f>IF(Budget!A20="","",Budget!A20)</f>
        <v>Transportation</v>
      </c>
      <c r="C16">
        <f>N(Budget!E20)</f>
        <v>600</v>
      </c>
      <c r="D1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$15),Payments!$E$5:$E$504)</f>
        <v>0</v>
      </c>
      <c r="E1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$15)*(Payments!$F$5:$F$504="Paid"),Payments!$E$5:$E$504)</f>
        <v>0</v>
      </c>
      <c r="F1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$15)*(Payments!$F$5:$F$504="Owed"),Payments!$E$5:$E$504)</f>
        <v>0</v>
      </c>
    </row>
    <row r="17" spans="2:6" x14ac:dyDescent="0.35">
      <c r="B17" t="str">
        <f>IF(Budget!A21="","",Budget!A21)</f>
        <v>Favors &amp; gifts</v>
      </c>
      <c r="C17">
        <f>N(Budget!E21)</f>
        <v>300</v>
      </c>
      <c r="D1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$16),Payments!$E$5:$E$504)</f>
        <v>0</v>
      </c>
      <c r="E1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$16)*(Payments!$F$5:$F$504="Paid"),Payments!$E$5:$E$504)</f>
        <v>0</v>
      </c>
      <c r="F1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$16)*(Payments!$F$5:$F$504="Owed"),Payments!$E$5:$E$504)</f>
        <v>0</v>
      </c>
    </row>
    <row r="18" spans="2:6" x14ac:dyDescent="0.35">
      <c r="B18" t="str">
        <f>IF(Budget!A22="","",Budget!A22)</f>
        <v>Officiant &amp; license</v>
      </c>
      <c r="C18">
        <f>N(Budget!E22)</f>
        <v>300</v>
      </c>
      <c r="D1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$17),Payments!$E$5:$E$504)</f>
        <v>0</v>
      </c>
      <c r="E1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$17)*(Payments!$F$5:$F$504="Paid"),Payments!$E$5:$E$504)</f>
        <v>0</v>
      </c>
      <c r="F1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$17)*(Payments!$F$5:$F$504="Owed"),Payments!$E$5:$E$504)</f>
        <v>0</v>
      </c>
    </row>
    <row r="19" spans="2:6" x14ac:dyDescent="0.35">
      <c r="B19" t="str">
        <f>IF(Budget!A23="","",Budget!A23)</f>
        <v>Contingency / other</v>
      </c>
      <c r="C19">
        <f>N(Budget!E23)</f>
        <v>1200</v>
      </c>
      <c r="D1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$18),Payments!$E$5:$E$504)</f>
        <v>0</v>
      </c>
      <c r="E1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$18)*(Payments!$F$5:$F$504="Paid"),Payments!$E$5:$E$504)</f>
        <v>0</v>
      </c>
      <c r="F1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$18)*(Payments!$F$5:$F$504="Owed"),Payments!$E$5:$E$504)</f>
        <v>0</v>
      </c>
    </row>
    <row r="20" spans="2:6" x14ac:dyDescent="0.35">
      <c r="B20" t="str">
        <f>IF(Budget!A24="","",Budget!A24)</f>
        <v/>
      </c>
      <c r="C20">
        <f>N(Budget!E24)</f>
        <v>0</v>
      </c>
      <c r="D2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$19),Payments!$E$5:$E$504)</f>
        <v>0</v>
      </c>
      <c r="E2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$19)*(Payments!$F$5:$F$504="Paid"),Payments!$E$5:$E$504)</f>
        <v>0</v>
      </c>
      <c r="F2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$19)*(Payments!$F$5:$F$504="Owed"),Payments!$E$5:$E$504)</f>
        <v>0</v>
      </c>
    </row>
    <row r="21" spans="2:6" x14ac:dyDescent="0.35">
      <c r="B21" t="str">
        <f>IF(Budget!A25="","",Budget!A25)</f>
        <v/>
      </c>
      <c r="C21">
        <f>N(Budget!E25)</f>
        <v>0</v>
      </c>
      <c r="D2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$20),Payments!$E$5:$E$504)</f>
        <v>0</v>
      </c>
      <c r="E2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$20)*(Payments!$F$5:$F$504="Paid"),Payments!$E$5:$E$504)</f>
        <v>0</v>
      </c>
      <c r="F2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$20)*(Payments!$F$5:$F$504="Owed"),Payments!$E$5:$E$504)</f>
        <v>0</v>
      </c>
    </row>
    <row r="22" spans="2:6" x14ac:dyDescent="0.35">
      <c r="B22" t="str">
        <f>IF(Budget!A26="","",Budget!A26)</f>
        <v/>
      </c>
      <c r="C22">
        <f>N(Budget!E26)</f>
        <v>0</v>
      </c>
      <c r="D2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$21),Payments!$E$5:$E$504)</f>
        <v>0</v>
      </c>
      <c r="E2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$21)*(Payments!$F$5:$F$504="Paid"),Payments!$E$5:$E$504)</f>
        <v>0</v>
      </c>
      <c r="F2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B$5:$B$504=Lists!$A$21)*(Payments!$F$5:$F$504="Owed"),Payments!$E$5:$E$504)</f>
        <v>0</v>
      </c>
    </row>
    <row r="23" spans="2:6" x14ac:dyDescent="0.35">
      <c r="B23" t="s">
        <v>85</v>
      </c>
      <c r="C23">
        <f>SUM(C3:C22)</f>
        <v>30000</v>
      </c>
      <c r="D23">
        <f>SUM(D3:D22)</f>
        <v>12000</v>
      </c>
      <c r="E23">
        <f>SUM(E3:E22)</f>
        <v>3000</v>
      </c>
      <c r="F23">
        <f>SUM(F3:F22)</f>
        <v>9000</v>
      </c>
    </row>
    <row r="25" spans="2:6" x14ac:dyDescent="0.35">
      <c r="B25" t="s">
        <v>237</v>
      </c>
      <c r="C25">
        <f>SUMPRODUCT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,Payments!$E$5:$E$504)</f>
        <v>12000</v>
      </c>
    </row>
    <row r="26" spans="2:6" x14ac:dyDescent="0.35">
      <c r="B26" t="s">
        <v>47</v>
      </c>
      <c r="C2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,Payments!$E$5:$E$504)</f>
        <v>3000</v>
      </c>
    </row>
    <row r="27" spans="2:6" x14ac:dyDescent="0.35">
      <c r="B27" t="s">
        <v>54</v>
      </c>
      <c r="C2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,Payments!$E$5:$E$504)</f>
        <v>9000</v>
      </c>
    </row>
    <row r="28" spans="2:6" x14ac:dyDescent="0.35">
      <c r="B28" t="s">
        <v>238</v>
      </c>
      <c r="C28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lt;TODAY()),Payments!$E$5:$E$504)</f>
        <v>0</v>
      </c>
    </row>
    <row r="29" spans="2:6" x14ac:dyDescent="0.35">
      <c r="B29" t="s">
        <v>239</v>
      </c>
      <c r="C29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lt;TODAY()))</f>
        <v>0</v>
      </c>
    </row>
    <row r="30" spans="2:6" x14ac:dyDescent="0.35">
      <c r="B30" t="s">
        <v>240</v>
      </c>
      <c r="C30">
        <f t="array" aca="1" ref="C30" ca="1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TODAY()))=1,Payments!$G$5:$G$504,""))</f>
        <v>46508</v>
      </c>
    </row>
    <row r="33" spans="2:5" x14ac:dyDescent="0.35">
      <c r="B33" t="s">
        <v>241</v>
      </c>
      <c r="C33" t="s">
        <v>242</v>
      </c>
      <c r="D33" t="s">
        <v>47</v>
      </c>
      <c r="E33" t="s">
        <v>48</v>
      </c>
    </row>
    <row r="34" spans="2:5" x14ac:dyDescent="0.35">
      <c r="C34" t="s">
        <v>243</v>
      </c>
      <c r="D34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lt;B35),Payments!$E$5:$E$504)</f>
        <v>0</v>
      </c>
      <c r="E34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lt;B35),Payments!$E$5:$E$504)</f>
        <v>0</v>
      </c>
    </row>
    <row r="35" spans="2:5" x14ac:dyDescent="0.35">
      <c r="B35">
        <f ca="1">DATE(YEAR(IF(ISNUMBER(Dashboard!$C$3),Dashboard!$C$3,TODAY())),MONTH(IF(ISNUMBER(Dashboard!$C$3),Dashboard!$C$3,TODAY()))-16+0,1)</f>
        <v>45809</v>
      </c>
      <c r="C35" t="str">
        <f t="shared" ref="C35:C52" ca="1" si="0">TEXT(B35,"mmm yy")</f>
        <v>Jun 25</v>
      </c>
      <c r="D35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35)*(Payments!$A$5:$A$504&lt;B36),Payments!$E$5:$E$504)</f>
        <v>0</v>
      </c>
      <c r="E35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35)*(Payments!$G$5:$G$504&lt;B36),Payments!$E$5:$E$504)</f>
        <v>0</v>
      </c>
    </row>
    <row r="36" spans="2:5" x14ac:dyDescent="0.35">
      <c r="B36">
        <f ca="1">DATE(YEAR(IF(ISNUMBER(Dashboard!$C$3),Dashboard!$C$3,TODAY())),MONTH(IF(ISNUMBER(Dashboard!$C$3),Dashboard!$C$3,TODAY()))-16+1,1)</f>
        <v>45839</v>
      </c>
      <c r="C36" t="str">
        <f t="shared" ca="1" si="0"/>
        <v>Jul 25</v>
      </c>
      <c r="D36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36)*(Payments!$A$5:$A$504&lt;B37),Payments!$E$5:$E$504)</f>
        <v>0</v>
      </c>
      <c r="E36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36)*(Payments!$G$5:$G$504&lt;B37),Payments!$E$5:$E$504)</f>
        <v>0</v>
      </c>
    </row>
    <row r="37" spans="2:5" x14ac:dyDescent="0.35">
      <c r="B37">
        <f ca="1">DATE(YEAR(IF(ISNUMBER(Dashboard!$C$3),Dashboard!$C$3,TODAY())),MONTH(IF(ISNUMBER(Dashboard!$C$3),Dashboard!$C$3,TODAY()))-16+2,1)</f>
        <v>45870</v>
      </c>
      <c r="C37" t="str">
        <f t="shared" ca="1" si="0"/>
        <v>Aug 25</v>
      </c>
      <c r="D37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37)*(Payments!$A$5:$A$504&lt;B38),Payments!$E$5:$E$504)</f>
        <v>0</v>
      </c>
      <c r="E37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37)*(Payments!$G$5:$G$504&lt;B38),Payments!$E$5:$E$504)</f>
        <v>0</v>
      </c>
    </row>
    <row r="38" spans="2:5" x14ac:dyDescent="0.35">
      <c r="B38">
        <f ca="1">DATE(YEAR(IF(ISNUMBER(Dashboard!$C$3),Dashboard!$C$3,TODAY())),MONTH(IF(ISNUMBER(Dashboard!$C$3),Dashboard!$C$3,TODAY()))-16+3,1)</f>
        <v>45901</v>
      </c>
      <c r="C38" t="str">
        <f t="shared" ca="1" si="0"/>
        <v>Sep 25</v>
      </c>
      <c r="D38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38)*(Payments!$A$5:$A$504&lt;B39),Payments!$E$5:$E$504)</f>
        <v>0</v>
      </c>
      <c r="E38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38)*(Payments!$G$5:$G$504&lt;B39),Payments!$E$5:$E$504)</f>
        <v>0</v>
      </c>
    </row>
    <row r="39" spans="2:5" x14ac:dyDescent="0.35">
      <c r="B39">
        <f ca="1">DATE(YEAR(IF(ISNUMBER(Dashboard!$C$3),Dashboard!$C$3,TODAY())),MONTH(IF(ISNUMBER(Dashboard!$C$3),Dashboard!$C$3,TODAY()))-16+4,1)</f>
        <v>45931</v>
      </c>
      <c r="C39" t="str">
        <f t="shared" ca="1" si="0"/>
        <v>Oct 25</v>
      </c>
      <c r="D39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39)*(Payments!$A$5:$A$504&lt;B40),Payments!$E$5:$E$504)</f>
        <v>0</v>
      </c>
      <c r="E39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39)*(Payments!$G$5:$G$504&lt;B40),Payments!$E$5:$E$504)</f>
        <v>0</v>
      </c>
    </row>
    <row r="40" spans="2:5" x14ac:dyDescent="0.35">
      <c r="B40">
        <f ca="1">DATE(YEAR(IF(ISNUMBER(Dashboard!$C$3),Dashboard!$C$3,TODAY())),MONTH(IF(ISNUMBER(Dashboard!$C$3),Dashboard!$C$3,TODAY()))-16+5,1)</f>
        <v>45962</v>
      </c>
      <c r="C40" t="str">
        <f t="shared" ca="1" si="0"/>
        <v>Nov 25</v>
      </c>
      <c r="D40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40)*(Payments!$A$5:$A$504&lt;B41),Payments!$E$5:$E$504)</f>
        <v>0</v>
      </c>
      <c r="E40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40)*(Payments!$G$5:$G$504&lt;B41),Payments!$E$5:$E$504)</f>
        <v>0</v>
      </c>
    </row>
    <row r="41" spans="2:5" x14ac:dyDescent="0.35">
      <c r="B41">
        <f ca="1">DATE(YEAR(IF(ISNUMBER(Dashboard!$C$3),Dashboard!$C$3,TODAY())),MONTH(IF(ISNUMBER(Dashboard!$C$3),Dashboard!$C$3,TODAY()))-16+6,1)</f>
        <v>45992</v>
      </c>
      <c r="C41" t="str">
        <f t="shared" ca="1" si="0"/>
        <v>Dec 25</v>
      </c>
      <c r="D41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41)*(Payments!$A$5:$A$504&lt;B42),Payments!$E$5:$E$504)</f>
        <v>0</v>
      </c>
      <c r="E41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41)*(Payments!$G$5:$G$504&lt;B42),Payments!$E$5:$E$504)</f>
        <v>0</v>
      </c>
    </row>
    <row r="42" spans="2:5" x14ac:dyDescent="0.35">
      <c r="B42">
        <f ca="1">DATE(YEAR(IF(ISNUMBER(Dashboard!$C$3),Dashboard!$C$3,TODAY())),MONTH(IF(ISNUMBER(Dashboard!$C$3),Dashboard!$C$3,TODAY()))-16+7,1)</f>
        <v>46023</v>
      </c>
      <c r="C42" t="str">
        <f t="shared" ca="1" si="0"/>
        <v>Jan 26</v>
      </c>
      <c r="D42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42)*(Payments!$A$5:$A$504&lt;B43),Payments!$E$5:$E$504)</f>
        <v>0</v>
      </c>
      <c r="E42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42)*(Payments!$G$5:$G$504&lt;B43),Payments!$E$5:$E$504)</f>
        <v>0</v>
      </c>
    </row>
    <row r="43" spans="2:5" x14ac:dyDescent="0.35">
      <c r="B43">
        <f ca="1">DATE(YEAR(IF(ISNUMBER(Dashboard!$C$3),Dashboard!$C$3,TODAY())),MONTH(IF(ISNUMBER(Dashboard!$C$3),Dashboard!$C$3,TODAY()))-16+8,1)</f>
        <v>46054</v>
      </c>
      <c r="C43" t="str">
        <f t="shared" ca="1" si="0"/>
        <v>Feb 26</v>
      </c>
      <c r="D43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43)*(Payments!$A$5:$A$504&lt;B44),Payments!$E$5:$E$504)</f>
        <v>0</v>
      </c>
      <c r="E43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43)*(Payments!$G$5:$G$504&lt;B44),Payments!$E$5:$E$504)</f>
        <v>0</v>
      </c>
    </row>
    <row r="44" spans="2:5" x14ac:dyDescent="0.35">
      <c r="B44">
        <f ca="1">DATE(YEAR(IF(ISNUMBER(Dashboard!$C$3),Dashboard!$C$3,TODAY())),MONTH(IF(ISNUMBER(Dashboard!$C$3),Dashboard!$C$3,TODAY()))-16+9,1)</f>
        <v>46082</v>
      </c>
      <c r="C44" t="str">
        <f t="shared" ca="1" si="0"/>
        <v>Mar 26</v>
      </c>
      <c r="D44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44)*(Payments!$A$5:$A$504&lt;B45),Payments!$E$5:$E$504)</f>
        <v>0</v>
      </c>
      <c r="E44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44)*(Payments!$G$5:$G$504&lt;B45),Payments!$E$5:$E$504)</f>
        <v>0</v>
      </c>
    </row>
    <row r="45" spans="2:5" x14ac:dyDescent="0.35">
      <c r="B45">
        <f ca="1">DATE(YEAR(IF(ISNUMBER(Dashboard!$C$3),Dashboard!$C$3,TODAY())),MONTH(IF(ISNUMBER(Dashboard!$C$3),Dashboard!$C$3,TODAY()))-16+10,1)</f>
        <v>46113</v>
      </c>
      <c r="C45" t="str">
        <f t="shared" ca="1" si="0"/>
        <v>Apr 26</v>
      </c>
      <c r="D45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45)*(Payments!$A$5:$A$504&lt;B46),Payments!$E$5:$E$504)</f>
        <v>0</v>
      </c>
      <c r="E45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45)*(Payments!$G$5:$G$504&lt;B46),Payments!$E$5:$E$504)</f>
        <v>0</v>
      </c>
    </row>
    <row r="46" spans="2:5" x14ac:dyDescent="0.35">
      <c r="B46">
        <f ca="1">DATE(YEAR(IF(ISNUMBER(Dashboard!$C$3),Dashboard!$C$3,TODAY())),MONTH(IF(ISNUMBER(Dashboard!$C$3),Dashboard!$C$3,TODAY()))-16+11,1)</f>
        <v>46143</v>
      </c>
      <c r="C46" t="str">
        <f t="shared" ca="1" si="0"/>
        <v>May 26</v>
      </c>
      <c r="D46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46)*(Payments!$A$5:$A$504&lt;B47),Payments!$E$5:$E$504)</f>
        <v>0</v>
      </c>
      <c r="E46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46)*(Payments!$G$5:$G$504&lt;B47),Payments!$E$5:$E$504)</f>
        <v>0</v>
      </c>
    </row>
    <row r="47" spans="2:5" x14ac:dyDescent="0.35">
      <c r="B47">
        <f ca="1">DATE(YEAR(IF(ISNUMBER(Dashboard!$C$3),Dashboard!$C$3,TODAY())),MONTH(IF(ISNUMBER(Dashboard!$C$3),Dashboard!$C$3,TODAY()))-16+12,1)</f>
        <v>46174</v>
      </c>
      <c r="C47" t="str">
        <f t="shared" ca="1" si="0"/>
        <v>Jun 26</v>
      </c>
      <c r="D47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47)*(Payments!$A$5:$A$504&lt;B48),Payments!$E$5:$E$504)</f>
        <v>0</v>
      </c>
      <c r="E47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47)*(Payments!$G$5:$G$504&lt;B48),Payments!$E$5:$E$504)</f>
        <v>0</v>
      </c>
    </row>
    <row r="48" spans="2:5" x14ac:dyDescent="0.35">
      <c r="B48">
        <f ca="1">DATE(YEAR(IF(ISNUMBER(Dashboard!$C$3),Dashboard!$C$3,TODAY())),MONTH(IF(ISNUMBER(Dashboard!$C$3),Dashboard!$C$3,TODAY()))-16+13,1)</f>
        <v>46204</v>
      </c>
      <c r="C48" t="str">
        <f t="shared" ca="1" si="0"/>
        <v>Jul 26</v>
      </c>
      <c r="D48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48)*(Payments!$A$5:$A$504&lt;B49),Payments!$E$5:$E$504)</f>
        <v>0</v>
      </c>
      <c r="E48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48)*(Payments!$G$5:$G$504&lt;B49),Payments!$E$5:$E$504)</f>
        <v>0</v>
      </c>
    </row>
    <row r="49" spans="2:7" x14ac:dyDescent="0.35">
      <c r="B49">
        <f ca="1">DATE(YEAR(IF(ISNUMBER(Dashboard!$C$3),Dashboard!$C$3,TODAY())),MONTH(IF(ISNUMBER(Dashboard!$C$3),Dashboard!$C$3,TODAY()))-16+14,1)</f>
        <v>46235</v>
      </c>
      <c r="C49" t="str">
        <f t="shared" ca="1" si="0"/>
        <v>Aug 26</v>
      </c>
      <c r="D49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49)*(Payments!$A$5:$A$504&lt;B50),Payments!$E$5:$E$504)</f>
        <v>0</v>
      </c>
      <c r="E49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49)*(Payments!$G$5:$G$504&lt;B50),Payments!$E$5:$E$504)</f>
        <v>0</v>
      </c>
    </row>
    <row r="50" spans="2:7" x14ac:dyDescent="0.35">
      <c r="B50">
        <f ca="1">DATE(YEAR(IF(ISNUMBER(Dashboard!$C$3),Dashboard!$C$3,TODAY())),MONTH(IF(ISNUMBER(Dashboard!$C$3),Dashboard!$C$3,TODAY()))-16+15,1)</f>
        <v>46266</v>
      </c>
      <c r="C50" t="str">
        <f t="shared" ca="1" si="0"/>
        <v>Sep 26</v>
      </c>
      <c r="D50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50)*(Payments!$A$5:$A$504&lt;B51),Payments!$E$5:$E$504)</f>
        <v>3000</v>
      </c>
      <c r="E50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50)*(Payments!$G$5:$G$504&lt;B51),Payments!$E$5:$E$504)</f>
        <v>0</v>
      </c>
    </row>
    <row r="51" spans="2:7" x14ac:dyDescent="0.35">
      <c r="B51">
        <f ca="1">DATE(YEAR(IF(ISNUMBER(Dashboard!$C$3),Dashboard!$C$3,TODAY())),MONTH(IF(ISNUMBER(Dashboard!$C$3),Dashboard!$C$3,TODAY()))-16+16,1)</f>
        <v>46296</v>
      </c>
      <c r="C51" t="str">
        <f t="shared" ca="1" si="0"/>
        <v>Oct 26</v>
      </c>
      <c r="D51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51)*(Payments!$A$5:$A$504&lt;B52),Payments!$E$5:$E$504)</f>
        <v>0</v>
      </c>
      <c r="E51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51)*(Payments!$G$5:$G$504&lt;B52),Payments!$E$5:$E$504)</f>
        <v>0</v>
      </c>
    </row>
    <row r="52" spans="2:7" x14ac:dyDescent="0.35">
      <c r="B52">
        <f ca="1">DATE(YEAR(IF(ISNUMBER(Dashboard!$C$3),Dashboard!$C$3,TODAY())),MONTH(IF(ISNUMBER(Dashboard!$C$3),Dashboard!$C$3,TODAY()))-16+17,1)</f>
        <v>46327</v>
      </c>
      <c r="C52" t="str">
        <f t="shared" ca="1" si="0"/>
        <v>Nov 26</v>
      </c>
      <c r="D52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52)*(Payments!$A$5:$A$504&lt;B53),Payments!$E$5:$E$504)</f>
        <v>0</v>
      </c>
      <c r="E52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52)*(Payments!$G$5:$G$504&lt;B53),Payments!$E$5:$E$504)</f>
        <v>0</v>
      </c>
    </row>
    <row r="53" spans="2:7" x14ac:dyDescent="0.35">
      <c r="B53">
        <f ca="1">DATE(YEAR(IF(ISNUMBER(Dashboard!$C$3),Dashboard!$C$3,TODAY())),MONTH(IF(ISNUMBER(Dashboard!$C$3),Dashboard!$C$3,TODAY()))-16+18,1)</f>
        <v>46357</v>
      </c>
      <c r="C53" t="s">
        <v>244</v>
      </c>
      <c r="D53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Paid")*(Payments!$A$5:$A$504&gt;=B53),Payments!$E$5:$E$504)</f>
        <v>0</v>
      </c>
      <c r="E53">
        <f ca="1"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ISNUMBER(Payments!$G$5:$G$504)*(Payments!$G$5:$G$504&gt;=B53),Payments!$E$5:$E$504)</f>
        <v>9000</v>
      </c>
    </row>
    <row r="54" spans="2:7" x14ac:dyDescent="0.35">
      <c r="C54" t="s">
        <v>245</v>
      </c>
      <c r="D54">
        <v>0</v>
      </c>
      <c r="E5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F$5:$F$504="Owed")*(Payments!$G$5:$G$504=""),Payments!$E$5:$E$504)</f>
        <v>0</v>
      </c>
    </row>
    <row r="55" spans="2:7" x14ac:dyDescent="0.35">
      <c r="C55" t="s">
        <v>246</v>
      </c>
      <c r="D55">
        <f ca="1">SUM(D34:D54)+SUM(E34:E54)</f>
        <v>12000</v>
      </c>
    </row>
    <row r="59" spans="2:7" x14ac:dyDescent="0.35">
      <c r="B59" t="s">
        <v>53</v>
      </c>
      <c r="C59" t="s">
        <v>32</v>
      </c>
      <c r="D59" t="s">
        <v>47</v>
      </c>
      <c r="E59" t="s">
        <v>54</v>
      </c>
      <c r="F59" t="s">
        <v>247</v>
      </c>
      <c r="G59" t="s">
        <v>248</v>
      </c>
    </row>
    <row r="60" spans="2:7" x14ac:dyDescent="0.35">
      <c r="B60" t="str">
        <f>IF(Vendors!A5="","",Vendors!A5)</f>
        <v>EXAMPLE Venue</v>
      </c>
      <c r="C6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$2),Payments!$E$5:$E$504)</f>
        <v>12000</v>
      </c>
      <c r="D6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$2)*(Payments!$F$5:$F$504="Paid"),Payments!$E$5:$E$504)</f>
        <v>3000</v>
      </c>
      <c r="E6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$2)*(Payments!$F$5:$F$504="Owed"),Payments!$E$5:$E$504)</f>
        <v>9000</v>
      </c>
      <c r="F60">
        <f t="array" ref="F60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$2)*(Payments!$F$5:$F$504="Owed")*ISNUMBER(Payments!$G$5:$G$504))=1,Payments!$G$5:$G$504,""))</f>
        <v>46508</v>
      </c>
      <c r="G60">
        <f>IF(B60="",-1-0/1000,C60+(40-0)/1000000)</f>
        <v>12000.000040000001</v>
      </c>
    </row>
    <row r="61" spans="2:7" x14ac:dyDescent="0.35">
      <c r="B61" t="str">
        <f>IF(Vendors!A6="","",Vendors!A6)</f>
        <v/>
      </c>
      <c r="C6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$3),Payments!$E$5:$E$504)</f>
        <v>0</v>
      </c>
      <c r="D6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$3)*(Payments!$F$5:$F$504="Paid"),Payments!$E$5:$E$504)</f>
        <v>0</v>
      </c>
      <c r="E6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$3)*(Payments!$F$5:$F$504="Owed"),Payments!$E$5:$E$504)</f>
        <v>0</v>
      </c>
      <c r="F61">
        <f t="array" ref="F61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$3)*(Payments!$F$5:$F$504="Owed")*ISNUMBER(Payments!$G$5:$G$504))=1,Payments!$G$5:$G$504,""))</f>
        <v>0</v>
      </c>
      <c r="G61">
        <f>IF(B61="",-1-1/1000,C61+(40-1)/1000000)</f>
        <v>-1.0009999999999999</v>
      </c>
    </row>
    <row r="62" spans="2:7" x14ac:dyDescent="0.35">
      <c r="B62" t="str">
        <f>IF(Vendors!A7="","",Vendors!A7)</f>
        <v/>
      </c>
      <c r="C6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$4),Payments!$E$5:$E$504)</f>
        <v>0</v>
      </c>
      <c r="D6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$4)*(Payments!$F$5:$F$504="Paid"),Payments!$E$5:$E$504)</f>
        <v>0</v>
      </c>
      <c r="E6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$4)*(Payments!$F$5:$F$504="Owed"),Payments!$E$5:$E$504)</f>
        <v>0</v>
      </c>
      <c r="F62">
        <f t="array" ref="F62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$4)*(Payments!$F$5:$F$504="Owed")*ISNUMBER(Payments!$G$5:$G$504))=1,Payments!$G$5:$G$504,""))</f>
        <v>0</v>
      </c>
      <c r="G62">
        <f>IF(B62="",-1-2/1000,C62+(40-2)/1000000)</f>
        <v>-1.002</v>
      </c>
    </row>
    <row r="63" spans="2:7" x14ac:dyDescent="0.35">
      <c r="B63" t="str">
        <f>IF(Vendors!A8="","",Vendors!A8)</f>
        <v/>
      </c>
      <c r="C6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$5),Payments!$E$5:$E$504)</f>
        <v>0</v>
      </c>
      <c r="D6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$5)*(Payments!$F$5:$F$504="Paid"),Payments!$E$5:$E$504)</f>
        <v>0</v>
      </c>
      <c r="E6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$5)*(Payments!$F$5:$F$504="Owed"),Payments!$E$5:$E$504)</f>
        <v>0</v>
      </c>
      <c r="F63">
        <f t="array" ref="F63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$5)*(Payments!$F$5:$F$504="Owed")*ISNUMBER(Payments!$G$5:$G$504))=1,Payments!$G$5:$G$504,""))</f>
        <v>0</v>
      </c>
      <c r="G63">
        <f>IF(B63="",-1-3/1000,C63+(40-3)/1000000)</f>
        <v>-1.0029999999999999</v>
      </c>
    </row>
    <row r="64" spans="2:7" x14ac:dyDescent="0.35">
      <c r="B64" t="str">
        <f>IF(Vendors!A9="","",Vendors!A9)</f>
        <v/>
      </c>
      <c r="C6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$6),Payments!$E$5:$E$504)</f>
        <v>0</v>
      </c>
      <c r="D6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$6)*(Payments!$F$5:$F$504="Paid"),Payments!$E$5:$E$504)</f>
        <v>0</v>
      </c>
      <c r="E6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$6)*(Payments!$F$5:$F$504="Owed"),Payments!$E$5:$E$504)</f>
        <v>0</v>
      </c>
      <c r="F64">
        <f t="array" ref="F64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$6)*(Payments!$F$5:$F$504="Owed")*ISNUMBER(Payments!$G$5:$G$504))=1,Payments!$G$5:$G$504,""))</f>
        <v>0</v>
      </c>
      <c r="G64">
        <f>IF(B64="",-1-4/1000,C64+(40-4)/1000000)</f>
        <v>-1.004</v>
      </c>
    </row>
    <row r="65" spans="2:7" x14ac:dyDescent="0.35">
      <c r="B65" t="str">
        <f>IF(Vendors!A10="","",Vendors!A10)</f>
        <v/>
      </c>
      <c r="C6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$7),Payments!$E$5:$E$504)</f>
        <v>0</v>
      </c>
      <c r="D6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$7)*(Payments!$F$5:$F$504="Paid"),Payments!$E$5:$E$504)</f>
        <v>0</v>
      </c>
      <c r="E6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$7)*(Payments!$F$5:$F$504="Owed"),Payments!$E$5:$E$504)</f>
        <v>0</v>
      </c>
      <c r="F65">
        <f t="array" ref="F65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$7)*(Payments!$F$5:$F$504="Owed")*ISNUMBER(Payments!$G$5:$G$504))=1,Payments!$G$5:$G$504,""))</f>
        <v>0</v>
      </c>
      <c r="G65">
        <f>IF(B65="",-1-5/1000,C65+(40-5)/1000000)</f>
        <v>-1.0049999999999999</v>
      </c>
    </row>
    <row r="66" spans="2:7" x14ac:dyDescent="0.35">
      <c r="B66" t="str">
        <f>IF(Vendors!A11="","",Vendors!A11)</f>
        <v/>
      </c>
      <c r="C6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$8),Payments!$E$5:$E$504)</f>
        <v>0</v>
      </c>
      <c r="D6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$8)*(Payments!$F$5:$F$504="Paid"),Payments!$E$5:$E$504)</f>
        <v>0</v>
      </c>
      <c r="E6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$8)*(Payments!$F$5:$F$504="Owed"),Payments!$E$5:$E$504)</f>
        <v>0</v>
      </c>
      <c r="F66">
        <f t="array" ref="F66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$8)*(Payments!$F$5:$F$504="Owed")*ISNUMBER(Payments!$G$5:$G$504))=1,Payments!$G$5:$G$504,""))</f>
        <v>0</v>
      </c>
      <c r="G66">
        <f>IF(B66="",-1-6/1000,C66+(40-6)/1000000)</f>
        <v>-1.006</v>
      </c>
    </row>
    <row r="67" spans="2:7" x14ac:dyDescent="0.35">
      <c r="B67" t="str">
        <f>IF(Vendors!A12="","",Vendors!A12)</f>
        <v/>
      </c>
      <c r="C6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$9),Payments!$E$5:$E$504)</f>
        <v>0</v>
      </c>
      <c r="D6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$9)*(Payments!$F$5:$F$504="Paid"),Payments!$E$5:$E$504)</f>
        <v>0</v>
      </c>
      <c r="E6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$9)*(Payments!$F$5:$F$504="Owed"),Payments!$E$5:$E$504)</f>
        <v>0</v>
      </c>
      <c r="F67">
        <f t="array" ref="F67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$9)*(Payments!$F$5:$F$504="Owed")*ISNUMBER(Payments!$G$5:$G$504))=1,Payments!$G$5:$G$504,""))</f>
        <v>0</v>
      </c>
      <c r="G67">
        <f>IF(B67="",-1-7/1000,C67+(40-7)/1000000)</f>
        <v>-1.0069999999999999</v>
      </c>
    </row>
    <row r="68" spans="2:7" x14ac:dyDescent="0.35">
      <c r="B68" t="str">
        <f>IF(Vendors!A13="","",Vendors!A13)</f>
        <v/>
      </c>
      <c r="C6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$10),Payments!$E$5:$E$504)</f>
        <v>0</v>
      </c>
      <c r="D6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$10)*(Payments!$F$5:$F$504="Paid"),Payments!$E$5:$E$504)</f>
        <v>0</v>
      </c>
      <c r="E6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$10)*(Payments!$F$5:$F$504="Owed"),Payments!$E$5:$E$504)</f>
        <v>0</v>
      </c>
      <c r="F68">
        <f t="array" ref="F68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$10)*(Payments!$F$5:$F$504="Owed")*ISNUMBER(Payments!$G$5:$G$504))=1,Payments!$G$5:$G$504,""))</f>
        <v>0</v>
      </c>
      <c r="G68">
        <f>IF(B68="",-1-8/1000,C68+(40-8)/1000000)</f>
        <v>-1.008</v>
      </c>
    </row>
    <row r="69" spans="2:7" x14ac:dyDescent="0.35">
      <c r="B69" t="str">
        <f>IF(Vendors!A14="","",Vendors!A14)</f>
        <v/>
      </c>
      <c r="C6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$11),Payments!$E$5:$E$504)</f>
        <v>0</v>
      </c>
      <c r="D6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$11)*(Payments!$F$5:$F$504="Paid"),Payments!$E$5:$E$504)</f>
        <v>0</v>
      </c>
      <c r="E6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$11)*(Payments!$F$5:$F$504="Owed"),Payments!$E$5:$E$504)</f>
        <v>0</v>
      </c>
      <c r="F69">
        <f t="array" ref="F69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$11)*(Payments!$F$5:$F$504="Owed")*ISNUMBER(Payments!$G$5:$G$504))=1,Payments!$G$5:$G$504,""))</f>
        <v>0</v>
      </c>
      <c r="G69">
        <f>IF(B69="",-1-9/1000,C69+(40-9)/1000000)</f>
        <v>-1.0089999999999999</v>
      </c>
    </row>
    <row r="70" spans="2:7" x14ac:dyDescent="0.35">
      <c r="B70" t="str">
        <f>IF(Vendors!A15="","",Vendors!A15)</f>
        <v/>
      </c>
      <c r="C7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$12),Payments!$E$5:$E$504)</f>
        <v>0</v>
      </c>
      <c r="D7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$12)*(Payments!$F$5:$F$504="Paid"),Payments!$E$5:$E$504)</f>
        <v>0</v>
      </c>
      <c r="E7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$12)*(Payments!$F$5:$F$504="Owed"),Payments!$E$5:$E$504)</f>
        <v>0</v>
      </c>
      <c r="F70">
        <f t="array" ref="F70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$12)*(Payments!$F$5:$F$504="Owed")*ISNUMBER(Payments!$G$5:$G$504))=1,Payments!$G$5:$G$504,""))</f>
        <v>0</v>
      </c>
      <c r="G70">
        <f>IF(B70="",-1-10/1000,C70+(40-10)/1000000)</f>
        <v>-1.01</v>
      </c>
    </row>
    <row r="71" spans="2:7" x14ac:dyDescent="0.35">
      <c r="B71" t="str">
        <f>IF(Vendors!A16="","",Vendors!A16)</f>
        <v/>
      </c>
      <c r="C7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$13),Payments!$E$5:$E$504)</f>
        <v>0</v>
      </c>
      <c r="D7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$13)*(Payments!$F$5:$F$504="Paid"),Payments!$E$5:$E$504)</f>
        <v>0</v>
      </c>
      <c r="E7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$13)*(Payments!$F$5:$F$504="Owed"),Payments!$E$5:$E$504)</f>
        <v>0</v>
      </c>
      <c r="F71">
        <f t="array" ref="F71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$13)*(Payments!$F$5:$F$504="Owed")*ISNUMBER(Payments!$G$5:$G$504))=1,Payments!$G$5:$G$504,""))</f>
        <v>0</v>
      </c>
      <c r="G71">
        <f>IF(B71="",-1-11/1000,C71+(40-11)/1000000)</f>
        <v>-1.0109999999999999</v>
      </c>
    </row>
    <row r="72" spans="2:7" x14ac:dyDescent="0.35">
      <c r="B72" t="str">
        <f>IF(Vendors!A17="","",Vendors!A17)</f>
        <v/>
      </c>
      <c r="C7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$14),Payments!$E$5:$E$504)</f>
        <v>0</v>
      </c>
      <c r="D7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$14)*(Payments!$F$5:$F$504="Paid"),Payments!$E$5:$E$504)</f>
        <v>0</v>
      </c>
      <c r="E7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$14)*(Payments!$F$5:$F$504="Owed"),Payments!$E$5:$E$504)</f>
        <v>0</v>
      </c>
      <c r="F72">
        <f t="array" ref="F72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$14)*(Payments!$F$5:$F$504="Owed")*ISNUMBER(Payments!$G$5:$G$504))=1,Payments!$G$5:$G$504,""))</f>
        <v>0</v>
      </c>
      <c r="G72">
        <f>IF(B72="",-1-12/1000,C72+(40-12)/1000000)</f>
        <v>-1.012</v>
      </c>
    </row>
    <row r="73" spans="2:7" x14ac:dyDescent="0.35">
      <c r="B73" t="str">
        <f>IF(Vendors!A18="","",Vendors!A18)</f>
        <v/>
      </c>
      <c r="C7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$15),Payments!$E$5:$E$504)</f>
        <v>0</v>
      </c>
      <c r="D7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$15)*(Payments!$F$5:$F$504="Paid"),Payments!$E$5:$E$504)</f>
        <v>0</v>
      </c>
      <c r="E7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$15)*(Payments!$F$5:$F$504="Owed"),Payments!$E$5:$E$504)</f>
        <v>0</v>
      </c>
      <c r="F73">
        <f t="array" ref="F73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$15)*(Payments!$F$5:$F$504="Owed")*ISNUMBER(Payments!$G$5:$G$504))=1,Payments!$G$5:$G$504,""))</f>
        <v>0</v>
      </c>
      <c r="G73">
        <f>IF(B73="",-1-13/1000,C73+(40-13)/1000000)</f>
        <v>-1.0129999999999999</v>
      </c>
    </row>
    <row r="74" spans="2:7" x14ac:dyDescent="0.35">
      <c r="B74" t="str">
        <f>IF(Vendors!A19="","",Vendors!A19)</f>
        <v/>
      </c>
      <c r="C7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$16),Payments!$E$5:$E$504)</f>
        <v>0</v>
      </c>
      <c r="D7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$16)*(Payments!$F$5:$F$504="Paid"),Payments!$E$5:$E$504)</f>
        <v>0</v>
      </c>
      <c r="E7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$16)*(Payments!$F$5:$F$504="Owed"),Payments!$E$5:$E$504)</f>
        <v>0</v>
      </c>
      <c r="F74">
        <f t="array" ref="F74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$16)*(Payments!$F$5:$F$504="Owed")*ISNUMBER(Payments!$G$5:$G$504))=1,Payments!$G$5:$G$504,""))</f>
        <v>0</v>
      </c>
      <c r="G74">
        <f>IF(B74="",-1-14/1000,C74+(40-14)/1000000)</f>
        <v>-1.014</v>
      </c>
    </row>
    <row r="75" spans="2:7" x14ac:dyDescent="0.35">
      <c r="B75" t="str">
        <f>IF(Vendors!A20="","",Vendors!A20)</f>
        <v/>
      </c>
      <c r="C7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$17),Payments!$E$5:$E$504)</f>
        <v>0</v>
      </c>
      <c r="D7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$17)*(Payments!$F$5:$F$504="Paid"),Payments!$E$5:$E$504)</f>
        <v>0</v>
      </c>
      <c r="E7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$17)*(Payments!$F$5:$F$504="Owed"),Payments!$E$5:$E$504)</f>
        <v>0</v>
      </c>
      <c r="F75">
        <f t="array" ref="F75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$17)*(Payments!$F$5:$F$504="Owed")*ISNUMBER(Payments!$G$5:$G$504))=1,Payments!$G$5:$G$504,""))</f>
        <v>0</v>
      </c>
      <c r="G75">
        <f>IF(B75="",-1-15/1000,C75+(40-15)/1000000)</f>
        <v>-1.0149999999999999</v>
      </c>
    </row>
    <row r="76" spans="2:7" x14ac:dyDescent="0.35">
      <c r="B76" t="str">
        <f>IF(Vendors!A21="","",Vendors!A21)</f>
        <v/>
      </c>
      <c r="C7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$18),Payments!$E$5:$E$504)</f>
        <v>0</v>
      </c>
      <c r="D7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$18)*(Payments!$F$5:$F$504="Paid"),Payments!$E$5:$E$504)</f>
        <v>0</v>
      </c>
      <c r="E7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$18)*(Payments!$F$5:$F$504="Owed"),Payments!$E$5:$E$504)</f>
        <v>0</v>
      </c>
      <c r="F76">
        <f t="array" ref="F76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$18)*(Payments!$F$5:$F$504="Owed")*ISNUMBER(Payments!$G$5:$G$504))=1,Payments!$G$5:$G$504,""))</f>
        <v>0</v>
      </c>
      <c r="G76">
        <f>IF(B76="",-1-16/1000,C76+(40-16)/1000000)</f>
        <v>-1.016</v>
      </c>
    </row>
    <row r="77" spans="2:7" x14ac:dyDescent="0.35">
      <c r="B77" t="str">
        <f>IF(Vendors!A22="","",Vendors!A22)</f>
        <v/>
      </c>
      <c r="C7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$19),Payments!$E$5:$E$504)</f>
        <v>0</v>
      </c>
      <c r="D7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$19)*(Payments!$F$5:$F$504="Paid"),Payments!$E$5:$E$504)</f>
        <v>0</v>
      </c>
      <c r="E7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$19)*(Payments!$F$5:$F$504="Owed"),Payments!$E$5:$E$504)</f>
        <v>0</v>
      </c>
      <c r="F77">
        <f t="array" ref="F77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$19)*(Payments!$F$5:$F$504="Owed")*ISNUMBER(Payments!$G$5:$G$504))=1,Payments!$G$5:$G$504,""))</f>
        <v>0</v>
      </c>
      <c r="G77">
        <f>IF(B77="",-1-17/1000,C77+(40-17)/1000000)</f>
        <v>-1.0169999999999999</v>
      </c>
    </row>
    <row r="78" spans="2:7" x14ac:dyDescent="0.35">
      <c r="B78" t="str">
        <f>IF(Vendors!A23="","",Vendors!A23)</f>
        <v/>
      </c>
      <c r="C7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$20),Payments!$E$5:$E$504)</f>
        <v>0</v>
      </c>
      <c r="D7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$20)*(Payments!$F$5:$F$504="Paid"),Payments!$E$5:$E$504)</f>
        <v>0</v>
      </c>
      <c r="E7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$20)*(Payments!$F$5:$F$504="Owed"),Payments!$E$5:$E$504)</f>
        <v>0</v>
      </c>
      <c r="F78">
        <f t="array" ref="F78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$20)*(Payments!$F$5:$F$504="Owed")*ISNUMBER(Payments!$G$5:$G$504))=1,Payments!$G$5:$G$504,""))</f>
        <v>0</v>
      </c>
      <c r="G78">
        <f>IF(B78="",-1-18/1000,C78+(40-18)/1000000)</f>
        <v>-1.018</v>
      </c>
    </row>
    <row r="79" spans="2:7" x14ac:dyDescent="0.35">
      <c r="B79" t="str">
        <f>IF(Vendors!A24="","",Vendors!A24)</f>
        <v/>
      </c>
      <c r="C7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$21),Payments!$E$5:$E$504)</f>
        <v>0</v>
      </c>
      <c r="D7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$21)*(Payments!$F$5:$F$504="Paid"),Payments!$E$5:$E$504)</f>
        <v>0</v>
      </c>
      <c r="E7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$21)*(Payments!$F$5:$F$504="Owed"),Payments!$E$5:$E$504)</f>
        <v>0</v>
      </c>
      <c r="F79">
        <f t="array" ref="F79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$21)*(Payments!$F$5:$F$504="Owed")*ISNUMBER(Payments!$G$5:$G$504))=1,Payments!$G$5:$G$504,""))</f>
        <v>0</v>
      </c>
      <c r="G79">
        <f>IF(B79="",-1-19/1000,C79+(40-19)/1000000)</f>
        <v>-1.0189999999999999</v>
      </c>
    </row>
    <row r="80" spans="2:7" x14ac:dyDescent="0.35">
      <c r="B80" t="str">
        <f>IF(Vendors!A25="","",Vendors!A25)</f>
        <v/>
      </c>
      <c r="C8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$22),Payments!$E$5:$E$504)</f>
        <v>0</v>
      </c>
      <c r="D8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$22)*(Payments!$F$5:$F$504="Paid"),Payments!$E$5:$E$504)</f>
        <v>0</v>
      </c>
      <c r="E8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$22)*(Payments!$F$5:$F$504="Owed"),Payments!$E$5:$E$504)</f>
        <v>0</v>
      </c>
      <c r="F80">
        <f t="array" ref="F80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$22)*(Payments!$F$5:$F$504="Owed")*ISNUMBER(Payments!$G$5:$G$504))=1,Payments!$G$5:$G$504,""))</f>
        <v>0</v>
      </c>
      <c r="G80">
        <f>IF(B80="",-1-20/1000,C80+(40-20)/1000000)</f>
        <v>-1.02</v>
      </c>
    </row>
    <row r="81" spans="2:7" x14ac:dyDescent="0.35">
      <c r="B81" t="str">
        <f>IF(Vendors!A26="","",Vendors!A26)</f>
        <v/>
      </c>
      <c r="C8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$23),Payments!$E$5:$E$504)</f>
        <v>0</v>
      </c>
      <c r="D8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$23)*(Payments!$F$5:$F$504="Paid"),Payments!$E$5:$E$504)</f>
        <v>0</v>
      </c>
      <c r="E8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$23)*(Payments!$F$5:$F$504="Owed"),Payments!$E$5:$E$504)</f>
        <v>0</v>
      </c>
      <c r="F81">
        <f t="array" ref="F81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$23)*(Payments!$F$5:$F$504="Owed")*ISNUMBER(Payments!$G$5:$G$504))=1,Payments!$G$5:$G$504,""))</f>
        <v>0</v>
      </c>
      <c r="G81">
        <f>IF(B81="",-1-21/1000,C81+(40-21)/1000000)</f>
        <v>-1.0209999999999999</v>
      </c>
    </row>
    <row r="82" spans="2:7" x14ac:dyDescent="0.35">
      <c r="B82" t="str">
        <f>IF(Vendors!A27="","",Vendors!A27)</f>
        <v/>
      </c>
      <c r="C8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$24),Payments!$E$5:$E$504)</f>
        <v>0</v>
      </c>
      <c r="D8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$24)*(Payments!$F$5:$F$504="Paid"),Payments!$E$5:$E$504)</f>
        <v>0</v>
      </c>
      <c r="E8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$24)*(Payments!$F$5:$F$504="Owed"),Payments!$E$5:$E$504)</f>
        <v>0</v>
      </c>
      <c r="F82">
        <f t="array" ref="F82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$24)*(Payments!$F$5:$F$504="Owed")*ISNUMBER(Payments!$G$5:$G$504))=1,Payments!$G$5:$G$504,""))</f>
        <v>0</v>
      </c>
      <c r="G82">
        <f>IF(B82="",-1-22/1000,C82+(40-22)/1000000)</f>
        <v>-1.022</v>
      </c>
    </row>
    <row r="83" spans="2:7" x14ac:dyDescent="0.35">
      <c r="B83" t="str">
        <f>IF(Vendors!A28="","",Vendors!A28)</f>
        <v/>
      </c>
      <c r="C8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$25),Payments!$E$5:$E$504)</f>
        <v>0</v>
      </c>
      <c r="D8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$25)*(Payments!$F$5:$F$504="Paid"),Payments!$E$5:$E$504)</f>
        <v>0</v>
      </c>
      <c r="E8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$25)*(Payments!$F$5:$F$504="Owed"),Payments!$E$5:$E$504)</f>
        <v>0</v>
      </c>
      <c r="F83">
        <f t="array" ref="F83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$25)*(Payments!$F$5:$F$504="Owed")*ISNUMBER(Payments!$G$5:$G$504))=1,Payments!$G$5:$G$504,""))</f>
        <v>0</v>
      </c>
      <c r="G83">
        <f>IF(B83="",-1-23/1000,C83+(40-23)/1000000)</f>
        <v>-1.0229999999999999</v>
      </c>
    </row>
    <row r="84" spans="2:7" x14ac:dyDescent="0.35">
      <c r="B84" t="str">
        <f>IF(Vendors!A29="","",Vendors!A29)</f>
        <v/>
      </c>
      <c r="C8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$26),Payments!$E$5:$E$504)</f>
        <v>0</v>
      </c>
      <c r="D8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$26)*(Payments!$F$5:$F$504="Paid"),Payments!$E$5:$E$504)</f>
        <v>0</v>
      </c>
      <c r="E8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$26)*(Payments!$F$5:$F$504="Owed"),Payments!$E$5:$E$504)</f>
        <v>0</v>
      </c>
      <c r="F84">
        <f t="array" ref="F84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$26)*(Payments!$F$5:$F$504="Owed")*ISNUMBER(Payments!$G$5:$G$504))=1,Payments!$G$5:$G$504,""))</f>
        <v>0</v>
      </c>
      <c r="G84">
        <f>IF(B84="",-1-24/1000,C84+(40-24)/1000000)</f>
        <v>-1.024</v>
      </c>
    </row>
    <row r="85" spans="2:7" x14ac:dyDescent="0.35">
      <c r="B85" t="str">
        <f>IF(Vendors!A30="","",Vendors!A30)</f>
        <v/>
      </c>
      <c r="C8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$27),Payments!$E$5:$E$504)</f>
        <v>0</v>
      </c>
      <c r="D8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$27)*(Payments!$F$5:$F$504="Paid"),Payments!$E$5:$E$504)</f>
        <v>0</v>
      </c>
      <c r="E8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$27)*(Payments!$F$5:$F$504="Owed"),Payments!$E$5:$E$504)</f>
        <v>0</v>
      </c>
      <c r="F85">
        <f t="array" ref="F85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$27)*(Payments!$F$5:$F$504="Owed")*ISNUMBER(Payments!$G$5:$G$504))=1,Payments!$G$5:$G$504,""))</f>
        <v>0</v>
      </c>
      <c r="G85">
        <f>IF(B85="",-1-25/1000,C85+(40-25)/1000000)</f>
        <v>-1.0249999999999999</v>
      </c>
    </row>
    <row r="86" spans="2:7" x14ac:dyDescent="0.35">
      <c r="B86" t="str">
        <f>IF(Vendors!A31="","",Vendors!A31)</f>
        <v/>
      </c>
      <c r="C8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$28),Payments!$E$5:$E$504)</f>
        <v>0</v>
      </c>
      <c r="D8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$28)*(Payments!$F$5:$F$504="Paid"),Payments!$E$5:$E$504)</f>
        <v>0</v>
      </c>
      <c r="E8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$28)*(Payments!$F$5:$F$504="Owed"),Payments!$E$5:$E$504)</f>
        <v>0</v>
      </c>
      <c r="F86">
        <f t="array" ref="F86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$28)*(Payments!$F$5:$F$504="Owed")*ISNUMBER(Payments!$G$5:$G$504))=1,Payments!$G$5:$G$504,""))</f>
        <v>0</v>
      </c>
      <c r="G86">
        <f>IF(B86="",-1-26/1000,C86+(40-26)/1000000)</f>
        <v>-1.026</v>
      </c>
    </row>
    <row r="87" spans="2:7" x14ac:dyDescent="0.35">
      <c r="B87" t="str">
        <f>IF(Vendors!A32="","",Vendors!A32)</f>
        <v/>
      </c>
      <c r="C8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$29),Payments!$E$5:$E$504)</f>
        <v>0</v>
      </c>
      <c r="D8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$29)*(Payments!$F$5:$F$504="Paid"),Payments!$E$5:$E$504)</f>
        <v>0</v>
      </c>
      <c r="E8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$29)*(Payments!$F$5:$F$504="Owed"),Payments!$E$5:$E$504)</f>
        <v>0</v>
      </c>
      <c r="F87">
        <f t="array" ref="F87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$29)*(Payments!$F$5:$F$504="Owed")*ISNUMBER(Payments!$G$5:$G$504))=1,Payments!$G$5:$G$504,""))</f>
        <v>0</v>
      </c>
      <c r="G87">
        <f>IF(B87="",-1-27/1000,C87+(40-27)/1000000)</f>
        <v>-1.0269999999999999</v>
      </c>
    </row>
    <row r="88" spans="2:7" x14ac:dyDescent="0.35">
      <c r="B88" t="str">
        <f>IF(Vendors!A33="","",Vendors!A33)</f>
        <v/>
      </c>
      <c r="C8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$30),Payments!$E$5:$E$504)</f>
        <v>0</v>
      </c>
      <c r="D8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$30)*(Payments!$F$5:$F$504="Paid"),Payments!$E$5:$E$504)</f>
        <v>0</v>
      </c>
      <c r="E8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$30)*(Payments!$F$5:$F$504="Owed"),Payments!$E$5:$E$504)</f>
        <v>0</v>
      </c>
      <c r="F88">
        <f t="array" ref="F88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$30)*(Payments!$F$5:$F$504="Owed")*ISNUMBER(Payments!$G$5:$G$504))=1,Payments!$G$5:$G$504,""))</f>
        <v>0</v>
      </c>
      <c r="G88">
        <f>IF(B88="",-1-28/1000,C88+(40-28)/1000000)</f>
        <v>-1.028</v>
      </c>
    </row>
    <row r="89" spans="2:7" x14ac:dyDescent="0.35">
      <c r="B89" t="str">
        <f>IF(Vendors!A34="","",Vendors!A34)</f>
        <v/>
      </c>
      <c r="C8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$31),Payments!$E$5:$E$504)</f>
        <v>0</v>
      </c>
      <c r="D8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$31)*(Payments!$F$5:$F$504="Paid"),Payments!$E$5:$E$504)</f>
        <v>0</v>
      </c>
      <c r="E8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$31)*(Payments!$F$5:$F$504="Owed"),Payments!$E$5:$E$504)</f>
        <v>0</v>
      </c>
      <c r="F89">
        <f t="array" ref="F89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$31)*(Payments!$F$5:$F$504="Owed")*ISNUMBER(Payments!$G$5:$G$504))=1,Payments!$G$5:$G$504,""))</f>
        <v>0</v>
      </c>
      <c r="G89">
        <f>IF(B89="",-1-29/1000,C89+(40-29)/1000000)</f>
        <v>-1.0289999999999999</v>
      </c>
    </row>
    <row r="90" spans="2:7" x14ac:dyDescent="0.35">
      <c r="B90" t="str">
        <f>IF(Vendors!A35="","",Vendors!A35)</f>
        <v/>
      </c>
      <c r="C9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$32),Payments!$E$5:$E$504)</f>
        <v>0</v>
      </c>
      <c r="D9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$32)*(Payments!$F$5:$F$504="Paid"),Payments!$E$5:$E$504)</f>
        <v>0</v>
      </c>
      <c r="E90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$32)*(Payments!$F$5:$F$504="Owed"),Payments!$E$5:$E$504)</f>
        <v>0</v>
      </c>
      <c r="F90">
        <f t="array" ref="F90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$32)*(Payments!$F$5:$F$504="Owed")*ISNUMBER(Payments!$G$5:$G$504))=1,Payments!$G$5:$G$504,""))</f>
        <v>0</v>
      </c>
      <c r="G90">
        <f>IF(B90="",-1-30/1000,C90+(40-30)/1000000)</f>
        <v>-1.03</v>
      </c>
    </row>
    <row r="91" spans="2:7" x14ac:dyDescent="0.35">
      <c r="B91" t="str">
        <f>IF(Vendors!A36="","",Vendors!A36)</f>
        <v/>
      </c>
      <c r="C9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$33),Payments!$E$5:$E$504)</f>
        <v>0</v>
      </c>
      <c r="D9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$33)*(Payments!$F$5:$F$504="Paid"),Payments!$E$5:$E$504)</f>
        <v>0</v>
      </c>
      <c r="E91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$33)*(Payments!$F$5:$F$504="Owed"),Payments!$E$5:$E$504)</f>
        <v>0</v>
      </c>
      <c r="F91">
        <f t="array" ref="F91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$33)*(Payments!$F$5:$F$504="Owed")*ISNUMBER(Payments!$G$5:$G$504))=1,Payments!$G$5:$G$504,""))</f>
        <v>0</v>
      </c>
      <c r="G91">
        <f>IF(B91="",-1-31/1000,C91+(40-31)/1000000)</f>
        <v>-1.0309999999999999</v>
      </c>
    </row>
    <row r="92" spans="2:7" x14ac:dyDescent="0.35">
      <c r="B92" t="str">
        <f>IF(Vendors!A37="","",Vendors!A37)</f>
        <v/>
      </c>
      <c r="C9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$34),Payments!$E$5:$E$504)</f>
        <v>0</v>
      </c>
      <c r="D9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$34)*(Payments!$F$5:$F$504="Paid"),Payments!$E$5:$E$504)</f>
        <v>0</v>
      </c>
      <c r="E92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$34)*(Payments!$F$5:$F$504="Owed"),Payments!$E$5:$E$504)</f>
        <v>0</v>
      </c>
      <c r="F92">
        <f t="array" ref="F92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$34)*(Payments!$F$5:$F$504="Owed")*ISNUMBER(Payments!$G$5:$G$504))=1,Payments!$G$5:$G$504,""))</f>
        <v>0</v>
      </c>
      <c r="G92">
        <f>IF(B92="",-1-32/1000,C92+(40-32)/1000000)</f>
        <v>-1.032</v>
      </c>
    </row>
    <row r="93" spans="2:7" x14ac:dyDescent="0.35">
      <c r="B93" t="str">
        <f>IF(Vendors!A38="","",Vendors!A38)</f>
        <v/>
      </c>
      <c r="C9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$35),Payments!$E$5:$E$504)</f>
        <v>0</v>
      </c>
      <c r="D9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$35)*(Payments!$F$5:$F$504="Paid"),Payments!$E$5:$E$504)</f>
        <v>0</v>
      </c>
      <c r="E93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$35)*(Payments!$F$5:$F$504="Owed"),Payments!$E$5:$E$504)</f>
        <v>0</v>
      </c>
      <c r="F93">
        <f t="array" ref="F93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$35)*(Payments!$F$5:$F$504="Owed")*ISNUMBER(Payments!$G$5:$G$504))=1,Payments!$G$5:$G$504,""))</f>
        <v>0</v>
      </c>
      <c r="G93">
        <f>IF(B93="",-1-33/1000,C93+(40-33)/1000000)</f>
        <v>-1.0329999999999999</v>
      </c>
    </row>
    <row r="94" spans="2:7" x14ac:dyDescent="0.35">
      <c r="B94" t="str">
        <f>IF(Vendors!A39="","",Vendors!A39)</f>
        <v/>
      </c>
      <c r="C9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$36),Payments!$E$5:$E$504)</f>
        <v>0</v>
      </c>
      <c r="D9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$36)*(Payments!$F$5:$F$504="Paid"),Payments!$E$5:$E$504)</f>
        <v>0</v>
      </c>
      <c r="E94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$36)*(Payments!$F$5:$F$504="Owed"),Payments!$E$5:$E$504)</f>
        <v>0</v>
      </c>
      <c r="F94">
        <f t="array" ref="F94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$36)*(Payments!$F$5:$F$504="Owed")*ISNUMBER(Payments!$G$5:$G$504))=1,Payments!$G$5:$G$504,""))</f>
        <v>0</v>
      </c>
      <c r="G94">
        <f>IF(B94="",-1-34/1000,C94+(40-34)/1000000)</f>
        <v>-1.034</v>
      </c>
    </row>
    <row r="95" spans="2:7" x14ac:dyDescent="0.35">
      <c r="B95" t="str">
        <f>IF(Vendors!A40="","",Vendors!A40)</f>
        <v/>
      </c>
      <c r="C9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$37),Payments!$E$5:$E$504)</f>
        <v>0</v>
      </c>
      <c r="D9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$37)*(Payments!$F$5:$F$504="Paid"),Payments!$E$5:$E$504)</f>
        <v>0</v>
      </c>
      <c r="E95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$37)*(Payments!$F$5:$F$504="Owed"),Payments!$E$5:$E$504)</f>
        <v>0</v>
      </c>
      <c r="F95">
        <f t="array" ref="F95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$37)*(Payments!$F$5:$F$504="Owed")*ISNUMBER(Payments!$G$5:$G$504))=1,Payments!$G$5:$G$504,""))</f>
        <v>0</v>
      </c>
      <c r="G95">
        <f>IF(B95="",-1-35/1000,C95+(40-35)/1000000)</f>
        <v>-1.0349999999999999</v>
      </c>
    </row>
    <row r="96" spans="2:7" x14ac:dyDescent="0.35">
      <c r="B96" t="str">
        <f>IF(Vendors!A41="","",Vendors!A41)</f>
        <v/>
      </c>
      <c r="C9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$38),Payments!$E$5:$E$504)</f>
        <v>0</v>
      </c>
      <c r="D9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$38)*(Payments!$F$5:$F$504="Paid"),Payments!$E$5:$E$504)</f>
        <v>0</v>
      </c>
      <c r="E96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$38)*(Payments!$F$5:$F$504="Owed"),Payments!$E$5:$E$504)</f>
        <v>0</v>
      </c>
      <c r="F96">
        <f t="array" ref="F96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$38)*(Payments!$F$5:$F$504="Owed")*ISNUMBER(Payments!$G$5:$G$504))=1,Payments!$G$5:$G$504,""))</f>
        <v>0</v>
      </c>
      <c r="G96">
        <f>IF(B96="",-1-36/1000,C96+(40-36)/1000000)</f>
        <v>-1.036</v>
      </c>
    </row>
    <row r="97" spans="2:7" x14ac:dyDescent="0.35">
      <c r="B97" t="str">
        <f>IF(Vendors!A42="","",Vendors!A42)</f>
        <v/>
      </c>
      <c r="C9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$39),Payments!$E$5:$E$504)</f>
        <v>0</v>
      </c>
      <c r="D9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$39)*(Payments!$F$5:$F$504="Paid"),Payments!$E$5:$E$504)</f>
        <v>0</v>
      </c>
      <c r="E97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$39)*(Payments!$F$5:$F$504="Owed"),Payments!$E$5:$E$504)</f>
        <v>0</v>
      </c>
      <c r="F97">
        <f t="array" ref="F97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$39)*(Payments!$F$5:$F$504="Owed")*ISNUMBER(Payments!$G$5:$G$504))=1,Payments!$G$5:$G$504,""))</f>
        <v>0</v>
      </c>
      <c r="G97">
        <f>IF(B97="",-1-37/1000,C97+(40-37)/1000000)</f>
        <v>-1.0369999999999999</v>
      </c>
    </row>
    <row r="98" spans="2:7" x14ac:dyDescent="0.35">
      <c r="B98" t="str">
        <f>IF(Vendors!A43="","",Vendors!A43)</f>
        <v/>
      </c>
      <c r="C9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$40),Payments!$E$5:$E$504)</f>
        <v>0</v>
      </c>
      <c r="D9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$40)*(Payments!$F$5:$F$504="Paid"),Payments!$E$5:$E$504)</f>
        <v>0</v>
      </c>
      <c r="E98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$40)*(Payments!$F$5:$F$504="Owed"),Payments!$E$5:$E$504)</f>
        <v>0</v>
      </c>
      <c r="F98">
        <f t="array" ref="F98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$40)*(Payments!$F$5:$F$504="Owed")*ISNUMBER(Payments!$G$5:$G$504))=1,Payments!$G$5:$G$504,""))</f>
        <v>0</v>
      </c>
      <c r="G98">
        <f>IF(B98="",-1-38/1000,C98+(40-38)/1000000)</f>
        <v>-1.038</v>
      </c>
    </row>
    <row r="99" spans="2:7" x14ac:dyDescent="0.35">
      <c r="B99" t="str">
        <f>IF(Vendors!A44="","",Vendors!A44)</f>
        <v/>
      </c>
      <c r="C9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$41),Payments!$E$5:$E$504)</f>
        <v>0</v>
      </c>
      <c r="D9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$41)*(Payments!$F$5:$F$504="Paid"),Payments!$E$5:$E$504)</f>
        <v>0</v>
      </c>
      <c r="E99">
        <f>SUMPRODUCT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$41)*(Payments!$F$5:$F$504="Owed"),Payments!$E$5:$E$504)</f>
        <v>0</v>
      </c>
      <c r="F99">
        <f t="array" ref="F99">MIN(IF(((ISNUMBER(Payments!$A$5:$A$504)*ISNUMBER(MATCH(Payments!$B$5:$B$504,Lists!$A$2:$A$21,0))*(((Payments!$C$5:$C$504="")+ISNUMBER(MATCH(Payments!$C$5:$C$504,Lists!$C$2:$C$41,0)))&gt;0)*ISNUMBER(Payments!$E$5:$E$504)*(((Payments!$F$5:$F$504="Paid")+(Payments!$F$5:$F$504="Owed"))&gt;0)*(((Payments!$G$5:$G$504="")+ISNUMBER(Payments!$G$5:$G$504))&gt;0))*(Payments!$C$5:$C$504=Lists!$C$41)*(Payments!$F$5:$F$504="Owed")*ISNUMBER(Payments!$G$5:$G$504))=1,Payments!$G$5:$G$504,""))</f>
        <v>0</v>
      </c>
      <c r="G99">
        <f>IF(B99="",-1-39/1000,C99+(40-39)/1000000)</f>
        <v>-1.0389999999999999</v>
      </c>
    </row>
    <row r="102" spans="2:7" x14ac:dyDescent="0.35">
      <c r="B102" t="s">
        <v>249</v>
      </c>
      <c r="C102" t="s">
        <v>250</v>
      </c>
      <c r="D102" t="s">
        <v>251</v>
      </c>
      <c r="E102" t="s">
        <v>47</v>
      </c>
      <c r="F102" t="s">
        <v>54</v>
      </c>
    </row>
    <row r="103" spans="2:7" x14ac:dyDescent="0.35">
      <c r="B103" t="str">
        <f t="shared" ref="B103:B110" si="1">IF(INDEX($C$60:$C$99,D103)&lt;=0,"",INDEX($B$60:$B$99,D103))</f>
        <v>EXAMPLE Venue</v>
      </c>
      <c r="C103">
        <f>LARGE($G$60:$G$99,1)</f>
        <v>12000.000040000001</v>
      </c>
      <c r="D103">
        <f t="shared" ref="D103:D110" si="2">MATCH(C103,$G$60:$G$99,0)</f>
        <v>1</v>
      </c>
      <c r="E103">
        <f t="shared" ref="E103:E110" si="3">IF(B103="",0,INDEX($D$60:$D$99,D103))</f>
        <v>3000</v>
      </c>
      <c r="F103">
        <f t="shared" ref="F103:F110" si="4">IF(B103="",0,INDEX($E$60:$E$99,D103))</f>
        <v>9000</v>
      </c>
    </row>
    <row r="104" spans="2:7" x14ac:dyDescent="0.35">
      <c r="B104" t="str">
        <f t="shared" si="1"/>
        <v/>
      </c>
      <c r="C104">
        <f>LARGE($G$60:$G$99,2)</f>
        <v>-1.0009999999999999</v>
      </c>
      <c r="D104">
        <f t="shared" si="2"/>
        <v>2</v>
      </c>
      <c r="E104">
        <f t="shared" si="3"/>
        <v>0</v>
      </c>
      <c r="F104">
        <f t="shared" si="4"/>
        <v>0</v>
      </c>
    </row>
    <row r="105" spans="2:7" x14ac:dyDescent="0.35">
      <c r="B105" t="str">
        <f t="shared" si="1"/>
        <v/>
      </c>
      <c r="C105">
        <f>LARGE($G$60:$G$99,3)</f>
        <v>-1.002</v>
      </c>
      <c r="D105">
        <f t="shared" si="2"/>
        <v>3</v>
      </c>
      <c r="E105">
        <f t="shared" si="3"/>
        <v>0</v>
      </c>
      <c r="F105">
        <f t="shared" si="4"/>
        <v>0</v>
      </c>
    </row>
    <row r="106" spans="2:7" x14ac:dyDescent="0.35">
      <c r="B106" t="str">
        <f t="shared" si="1"/>
        <v/>
      </c>
      <c r="C106">
        <f>LARGE($G$60:$G$99,4)</f>
        <v>-1.0029999999999999</v>
      </c>
      <c r="D106">
        <f t="shared" si="2"/>
        <v>4</v>
      </c>
      <c r="E106">
        <f t="shared" si="3"/>
        <v>0</v>
      </c>
      <c r="F106">
        <f t="shared" si="4"/>
        <v>0</v>
      </c>
    </row>
    <row r="107" spans="2:7" x14ac:dyDescent="0.35">
      <c r="B107" t="str">
        <f t="shared" si="1"/>
        <v/>
      </c>
      <c r="C107">
        <f>LARGE($G$60:$G$99,5)</f>
        <v>-1.004</v>
      </c>
      <c r="D107">
        <f t="shared" si="2"/>
        <v>5</v>
      </c>
      <c r="E107">
        <f t="shared" si="3"/>
        <v>0</v>
      </c>
      <c r="F107">
        <f t="shared" si="4"/>
        <v>0</v>
      </c>
    </row>
    <row r="108" spans="2:7" x14ac:dyDescent="0.35">
      <c r="B108" t="str">
        <f t="shared" si="1"/>
        <v/>
      </c>
      <c r="C108">
        <f>LARGE($G$60:$G$99,6)</f>
        <v>-1.0049999999999999</v>
      </c>
      <c r="D108">
        <f t="shared" si="2"/>
        <v>6</v>
      </c>
      <c r="E108">
        <f t="shared" si="3"/>
        <v>0</v>
      </c>
      <c r="F108">
        <f t="shared" si="4"/>
        <v>0</v>
      </c>
    </row>
    <row r="109" spans="2:7" x14ac:dyDescent="0.35">
      <c r="B109" t="str">
        <f t="shared" si="1"/>
        <v/>
      </c>
      <c r="C109">
        <f>LARGE($G$60:$G$99,7)</f>
        <v>-1.006</v>
      </c>
      <c r="D109">
        <f t="shared" si="2"/>
        <v>7</v>
      </c>
      <c r="E109">
        <f t="shared" si="3"/>
        <v>0</v>
      </c>
      <c r="F109">
        <f t="shared" si="4"/>
        <v>0</v>
      </c>
    </row>
    <row r="110" spans="2:7" x14ac:dyDescent="0.35">
      <c r="B110" t="str">
        <f t="shared" si="1"/>
        <v/>
      </c>
      <c r="C110">
        <f>LARGE($G$60:$G$99,8)</f>
        <v>-1.0069999999999999</v>
      </c>
      <c r="D110">
        <f t="shared" si="2"/>
        <v>8</v>
      </c>
      <c r="E110">
        <f t="shared" si="3"/>
        <v>0</v>
      </c>
      <c r="F110">
        <f t="shared" si="4"/>
        <v>0</v>
      </c>
    </row>
    <row r="115" spans="2:3" x14ac:dyDescent="0.35">
      <c r="B115" t="s">
        <v>252</v>
      </c>
      <c r="C115">
        <f>SUMPRODUCT((Checklist!$A$5:$A$124&lt;&gt;"")*(((Checklist!$B$5:$B$124="")+ISNUMBER(Checklist!$B$5:$B$124))&gt;0)*(((Checklist!$C$5:$C$124="")+ISNUMBER(Checklist!$C$5:$C$124))&gt;0)*(((Checklist!$E$5:$E$124="")+(Checklist!$E$5:$E$124="Yes"))&gt;0))</f>
        <v>50</v>
      </c>
    </row>
    <row r="116" spans="2:3" x14ac:dyDescent="0.35">
      <c r="B116" t="s">
        <v>233</v>
      </c>
      <c r="C116">
        <f>SUMPRODUCT(((Checklist!$A$5:$A$124&lt;&gt;"")*(((Checklist!$B$5:$B$124="")+ISNUMBER(Checklist!$B$5:$B$124))&gt;0)*(((Checklist!$C$5:$C$124="")+ISNUMBER(Checklist!$C$5:$C$124))&gt;0)*(((Checklist!$E$5:$E$124="")+(Checklist!$E$5:$E$124="Yes"))&gt;0))*(Checklist!$E$5:$E$124="Yes"))</f>
        <v>0</v>
      </c>
    </row>
    <row r="117" spans="2:3" x14ac:dyDescent="0.35">
      <c r="B117" t="s">
        <v>253</v>
      </c>
      <c r="C117">
        <f t="array" aca="1" ref="C117" ca="1">SUM(IF((((Checklist!$A$5:$A$124&lt;&gt;"")*(((Checklist!$B$5:$B$124="")+ISNUMBER(Checklist!$B$5:$B$124))&gt;0)*(((Checklist!$C$5:$C$124="")+ISNUMBER(Checklist!$C$5:$C$124))&gt;0)*(((Checklist!$E$5:$E$124="")+(Checklist!$E$5:$E$124="Yes"))&gt;0))*(Checklist!$E$5:$E$124&lt;&gt;"Yes")*((ISNUMBER(Checklist!$C$5:$C$124)+ISNUMBER(Checklist!$B$5:$B$124)*ISNUMBER(Dashboard!$C$3))&gt;0))=1,IF(IF(ISNUMBER(Checklist!$C$5:$C$124),Checklist!$C$5:$C$124,DATE(YEAR(Dashboard!$C$3),MONTH(Dashboard!$C$3)-INT(Checklist!$B$5:$B$124),DAY(Dashboard!$C$3)-ROUND(MOD(Checklist!$B$5:$B$124,1)*28,0)))&lt;TODAY(),1,0),0))</f>
        <v>0</v>
      </c>
    </row>
    <row r="118" spans="2:3" x14ac:dyDescent="0.35">
      <c r="B118" t="s">
        <v>254</v>
      </c>
      <c r="C118">
        <f>IF(C115&gt;0,C116/C115,0)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Dashboard</vt:lpstr>
      <vt:lpstr>Budget</vt:lpstr>
      <vt:lpstr>Payments</vt:lpstr>
      <vt:lpstr>Vendors</vt:lpstr>
      <vt:lpstr>Guest List</vt:lpstr>
      <vt:lpstr>Checklist</vt:lpstr>
      <vt:lpstr>Lists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2026-10-23T16:18:05Z</dcterms:created>
  <dcterms:modified xsi:type="dcterms:W3CDTF">2026-10-23T16:18:42Z</dcterms:modified>
</cp:coreProperties>
</file>