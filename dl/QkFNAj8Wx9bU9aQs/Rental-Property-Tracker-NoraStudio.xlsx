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:\My Drive\Joker\projects\products\01-rental-tracker\"/>
    </mc:Choice>
  </mc:AlternateContent>
  <xr:revisionPtr revIDLastSave="0" documentId="13_ncr:1_{9725692F-3F32-45E3-9374-593961C04CE4}" xr6:coauthVersionLast="47" xr6:coauthVersionMax="47" xr10:uidLastSave="{00000000-0000-0000-0000-000000000000}"/>
  <bookViews>
    <workbookView xWindow="34290" yWindow="-210" windowWidth="34620" windowHeight="13900" xr2:uid="{00000000-000D-0000-FFFF-FFFF00000000}"/>
  </bookViews>
  <sheets>
    <sheet name="Start Here" sheetId="1" r:id="rId1"/>
    <sheet name="Dashboard" sheetId="2" r:id="rId2"/>
    <sheet name="Properties" sheetId="3" r:id="rId3"/>
    <sheet name="Transactions" sheetId="4" r:id="rId4"/>
    <sheet name="Schedule E Summary" sheetId="5" r:id="rId5"/>
    <sheet name="Monthly P&amp;L" sheetId="6" r:id="rId6"/>
    <sheet name="Rent Roll" sheetId="7" r:id="rId7"/>
    <sheet name="Lists" sheetId="8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8" l="1"/>
  <c r="E12" i="8"/>
  <c r="F11" i="8"/>
  <c r="E11" i="8"/>
  <c r="F10" i="8"/>
  <c r="E10" i="8"/>
  <c r="F9" i="8"/>
  <c r="E9" i="8"/>
  <c r="F8" i="8"/>
  <c r="E8" i="8"/>
  <c r="F7" i="8"/>
  <c r="E7" i="8"/>
  <c r="F6" i="8"/>
  <c r="E6" i="8"/>
  <c r="F5" i="8"/>
  <c r="E5" i="8"/>
  <c r="F4" i="8"/>
  <c r="E4" i="8"/>
  <c r="F3" i="8"/>
  <c r="E3" i="8"/>
  <c r="E66" i="7"/>
  <c r="I64" i="7"/>
  <c r="I63" i="7"/>
  <c r="I62" i="7"/>
  <c r="I61" i="7"/>
  <c r="I60" i="7"/>
  <c r="I59" i="7"/>
  <c r="I58" i="7"/>
  <c r="I57" i="7"/>
  <c r="I56" i="7"/>
  <c r="I55" i="7"/>
  <c r="I54" i="7"/>
  <c r="I53" i="7"/>
  <c r="I52" i="7"/>
  <c r="I51" i="7"/>
  <c r="I50" i="7"/>
  <c r="I49" i="7"/>
  <c r="I48" i="7"/>
  <c r="I47" i="7"/>
  <c r="I46" i="7"/>
  <c r="I45" i="7"/>
  <c r="I44" i="7"/>
  <c r="I43" i="7"/>
  <c r="I42" i="7"/>
  <c r="I41" i="7"/>
  <c r="I40" i="7"/>
  <c r="I39" i="7"/>
  <c r="I38" i="7"/>
  <c r="I37" i="7"/>
  <c r="I36" i="7"/>
  <c r="I35" i="7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D11" i="6"/>
  <c r="D10" i="6"/>
  <c r="C10" i="6"/>
  <c r="E10" i="6" s="1"/>
  <c r="D9" i="6"/>
  <c r="C9" i="6"/>
  <c r="D8" i="6"/>
  <c r="C8" i="6"/>
  <c r="E8" i="6" s="1"/>
  <c r="D7" i="6"/>
  <c r="C7" i="6"/>
  <c r="C4" i="6"/>
  <c r="L21" i="5"/>
  <c r="K21" i="5"/>
  <c r="J21" i="5"/>
  <c r="I21" i="5"/>
  <c r="H21" i="5"/>
  <c r="G21" i="5"/>
  <c r="F21" i="5"/>
  <c r="E21" i="5"/>
  <c r="D21" i="5"/>
  <c r="C21" i="5"/>
  <c r="M21" i="5" s="1"/>
  <c r="W47" i="2" s="1"/>
  <c r="X47" i="2" s="1"/>
  <c r="L20" i="5"/>
  <c r="K20" i="5"/>
  <c r="J20" i="5"/>
  <c r="I20" i="5"/>
  <c r="H20" i="5"/>
  <c r="G20" i="5"/>
  <c r="F20" i="5"/>
  <c r="E20" i="5"/>
  <c r="D20" i="5"/>
  <c r="C20" i="5"/>
  <c r="M20" i="5" s="1"/>
  <c r="W46" i="2" s="1"/>
  <c r="X46" i="2" s="1"/>
  <c r="L19" i="5"/>
  <c r="K19" i="5"/>
  <c r="J19" i="5"/>
  <c r="I19" i="5"/>
  <c r="H19" i="5"/>
  <c r="G19" i="5"/>
  <c r="F19" i="5"/>
  <c r="E19" i="5"/>
  <c r="D19" i="5"/>
  <c r="C19" i="5"/>
  <c r="M19" i="5" s="1"/>
  <c r="W45" i="2" s="1"/>
  <c r="X45" i="2" s="1"/>
  <c r="L18" i="5"/>
  <c r="K18" i="5"/>
  <c r="J18" i="5"/>
  <c r="I18" i="5"/>
  <c r="H18" i="5"/>
  <c r="G18" i="5"/>
  <c r="F18" i="5"/>
  <c r="E18" i="5"/>
  <c r="D18" i="5"/>
  <c r="C18" i="5"/>
  <c r="L17" i="5"/>
  <c r="K17" i="5"/>
  <c r="J17" i="5"/>
  <c r="I17" i="5"/>
  <c r="H17" i="5"/>
  <c r="G17" i="5"/>
  <c r="F17" i="5"/>
  <c r="E17" i="5"/>
  <c r="D17" i="5"/>
  <c r="C17" i="5"/>
  <c r="L16" i="5"/>
  <c r="K16" i="5"/>
  <c r="J16" i="5"/>
  <c r="I16" i="5"/>
  <c r="H16" i="5"/>
  <c r="G16" i="5"/>
  <c r="F16" i="5"/>
  <c r="E16" i="5"/>
  <c r="D16" i="5"/>
  <c r="C16" i="5"/>
  <c r="M16" i="5" s="1"/>
  <c r="W42" i="2" s="1"/>
  <c r="X42" i="2" s="1"/>
  <c r="L15" i="5"/>
  <c r="K15" i="5"/>
  <c r="J15" i="5"/>
  <c r="I15" i="5"/>
  <c r="H15" i="5"/>
  <c r="G15" i="5"/>
  <c r="F15" i="5"/>
  <c r="E15" i="5"/>
  <c r="D15" i="5"/>
  <c r="C15" i="5"/>
  <c r="M15" i="5" s="1"/>
  <c r="W41" i="2" s="1"/>
  <c r="X41" i="2" s="1"/>
  <c r="L14" i="5"/>
  <c r="K14" i="5"/>
  <c r="J14" i="5"/>
  <c r="I14" i="5"/>
  <c r="H14" i="5"/>
  <c r="G14" i="5"/>
  <c r="F14" i="5"/>
  <c r="E14" i="5"/>
  <c r="D14" i="5"/>
  <c r="C14" i="5"/>
  <c r="M14" i="5" s="1"/>
  <c r="W40" i="2" s="1"/>
  <c r="X40" i="2" s="1"/>
  <c r="L13" i="5"/>
  <c r="K13" i="5"/>
  <c r="J13" i="5"/>
  <c r="I13" i="5"/>
  <c r="H13" i="5"/>
  <c r="G13" i="5"/>
  <c r="F13" i="5"/>
  <c r="E13" i="5"/>
  <c r="D13" i="5"/>
  <c r="C13" i="5"/>
  <c r="M13" i="5" s="1"/>
  <c r="W39" i="2" s="1"/>
  <c r="X39" i="2" s="1"/>
  <c r="L12" i="5"/>
  <c r="K12" i="5"/>
  <c r="J12" i="5"/>
  <c r="I12" i="5"/>
  <c r="H12" i="5"/>
  <c r="G12" i="5"/>
  <c r="F12" i="5"/>
  <c r="E12" i="5"/>
  <c r="D12" i="5"/>
  <c r="C12" i="5"/>
  <c r="L11" i="5"/>
  <c r="K11" i="5"/>
  <c r="J11" i="5"/>
  <c r="I11" i="5"/>
  <c r="H11" i="5"/>
  <c r="G11" i="5"/>
  <c r="F11" i="5"/>
  <c r="E11" i="5"/>
  <c r="D11" i="5"/>
  <c r="C11" i="5"/>
  <c r="M11" i="5" s="1"/>
  <c r="W37" i="2" s="1"/>
  <c r="X37" i="2" s="1"/>
  <c r="L10" i="5"/>
  <c r="K10" i="5"/>
  <c r="J10" i="5"/>
  <c r="I10" i="5"/>
  <c r="H10" i="5"/>
  <c r="G10" i="5"/>
  <c r="F10" i="5"/>
  <c r="E10" i="5"/>
  <c r="D10" i="5"/>
  <c r="C10" i="5"/>
  <c r="L9" i="5"/>
  <c r="K9" i="5"/>
  <c r="J9" i="5"/>
  <c r="I9" i="5"/>
  <c r="H9" i="5"/>
  <c r="G9" i="5"/>
  <c r="F9" i="5"/>
  <c r="E9" i="5"/>
  <c r="D9" i="5"/>
  <c r="C9" i="5"/>
  <c r="M9" i="5" s="1"/>
  <c r="W35" i="2" s="1"/>
  <c r="X35" i="2" s="1"/>
  <c r="L8" i="5"/>
  <c r="K8" i="5"/>
  <c r="J8" i="5"/>
  <c r="I8" i="5"/>
  <c r="H8" i="5"/>
  <c r="G8" i="5"/>
  <c r="F8" i="5"/>
  <c r="E8" i="5"/>
  <c r="D8" i="5"/>
  <c r="C8" i="5"/>
  <c r="L7" i="5"/>
  <c r="K7" i="5"/>
  <c r="J7" i="5"/>
  <c r="I7" i="5"/>
  <c r="H7" i="5"/>
  <c r="G7" i="5"/>
  <c r="F7" i="5"/>
  <c r="E7" i="5"/>
  <c r="D7" i="5"/>
  <c r="C7" i="5"/>
  <c r="L6" i="5"/>
  <c r="K6" i="5"/>
  <c r="J6" i="5"/>
  <c r="I6" i="5"/>
  <c r="H6" i="5"/>
  <c r="G6" i="5"/>
  <c r="F6" i="5"/>
  <c r="E6" i="5"/>
  <c r="D6" i="5"/>
  <c r="C6" i="5"/>
  <c r="L5" i="5"/>
  <c r="K5" i="5"/>
  <c r="J5" i="5"/>
  <c r="I5" i="5"/>
  <c r="H5" i="5"/>
  <c r="G5" i="5"/>
  <c r="F5" i="5"/>
  <c r="E5" i="5"/>
  <c r="D5" i="5"/>
  <c r="C5" i="5"/>
  <c r="F1004" i="4"/>
  <c r="F1003" i="4"/>
  <c r="F1002" i="4"/>
  <c r="F1001" i="4"/>
  <c r="F1000" i="4"/>
  <c r="F999" i="4"/>
  <c r="F998" i="4"/>
  <c r="F997" i="4"/>
  <c r="F996" i="4"/>
  <c r="F995" i="4"/>
  <c r="F994" i="4"/>
  <c r="F993" i="4"/>
  <c r="F992" i="4"/>
  <c r="F991" i="4"/>
  <c r="F990" i="4"/>
  <c r="F989" i="4"/>
  <c r="F988" i="4"/>
  <c r="F987" i="4"/>
  <c r="F986" i="4"/>
  <c r="F985" i="4"/>
  <c r="F984" i="4"/>
  <c r="F983" i="4"/>
  <c r="F982" i="4"/>
  <c r="F981" i="4"/>
  <c r="F980" i="4"/>
  <c r="F979" i="4"/>
  <c r="F978" i="4"/>
  <c r="F977" i="4"/>
  <c r="F976" i="4"/>
  <c r="F975" i="4"/>
  <c r="F974" i="4"/>
  <c r="F973" i="4"/>
  <c r="F972" i="4"/>
  <c r="F971" i="4"/>
  <c r="F970" i="4"/>
  <c r="F969" i="4"/>
  <c r="F968" i="4"/>
  <c r="F967" i="4"/>
  <c r="F966" i="4"/>
  <c r="F965" i="4"/>
  <c r="F964" i="4"/>
  <c r="F963" i="4"/>
  <c r="F962" i="4"/>
  <c r="F961" i="4"/>
  <c r="F960" i="4"/>
  <c r="F959" i="4"/>
  <c r="F958" i="4"/>
  <c r="F957" i="4"/>
  <c r="F956" i="4"/>
  <c r="F955" i="4"/>
  <c r="F954" i="4"/>
  <c r="F953" i="4"/>
  <c r="F952" i="4"/>
  <c r="F951" i="4"/>
  <c r="F950" i="4"/>
  <c r="F949" i="4"/>
  <c r="F948" i="4"/>
  <c r="F947" i="4"/>
  <c r="F946" i="4"/>
  <c r="F945" i="4"/>
  <c r="F944" i="4"/>
  <c r="F943" i="4"/>
  <c r="F942" i="4"/>
  <c r="F941" i="4"/>
  <c r="F940" i="4"/>
  <c r="F939" i="4"/>
  <c r="F938" i="4"/>
  <c r="F937" i="4"/>
  <c r="F936" i="4"/>
  <c r="F935" i="4"/>
  <c r="F934" i="4"/>
  <c r="F933" i="4"/>
  <c r="F932" i="4"/>
  <c r="F931" i="4"/>
  <c r="F930" i="4"/>
  <c r="F929" i="4"/>
  <c r="F928" i="4"/>
  <c r="F927" i="4"/>
  <c r="F926" i="4"/>
  <c r="F925" i="4"/>
  <c r="F924" i="4"/>
  <c r="F923" i="4"/>
  <c r="F922" i="4"/>
  <c r="F921" i="4"/>
  <c r="F920" i="4"/>
  <c r="F919" i="4"/>
  <c r="F918" i="4"/>
  <c r="F917" i="4"/>
  <c r="F916" i="4"/>
  <c r="F915" i="4"/>
  <c r="F914" i="4"/>
  <c r="F913" i="4"/>
  <c r="F912" i="4"/>
  <c r="F911" i="4"/>
  <c r="F910" i="4"/>
  <c r="F909" i="4"/>
  <c r="F908" i="4"/>
  <c r="F907" i="4"/>
  <c r="F906" i="4"/>
  <c r="F905" i="4"/>
  <c r="F904" i="4"/>
  <c r="F903" i="4"/>
  <c r="F902" i="4"/>
  <c r="F901" i="4"/>
  <c r="F900" i="4"/>
  <c r="F899" i="4"/>
  <c r="F898" i="4"/>
  <c r="F897" i="4"/>
  <c r="F896" i="4"/>
  <c r="F895" i="4"/>
  <c r="F894" i="4"/>
  <c r="F893" i="4"/>
  <c r="F892" i="4"/>
  <c r="F891" i="4"/>
  <c r="F890" i="4"/>
  <c r="F889" i="4"/>
  <c r="F888" i="4"/>
  <c r="F887" i="4"/>
  <c r="F886" i="4"/>
  <c r="F885" i="4"/>
  <c r="F884" i="4"/>
  <c r="F883" i="4"/>
  <c r="F882" i="4"/>
  <c r="F881" i="4"/>
  <c r="F880" i="4"/>
  <c r="F879" i="4"/>
  <c r="F878" i="4"/>
  <c r="F877" i="4"/>
  <c r="F876" i="4"/>
  <c r="F875" i="4"/>
  <c r="F874" i="4"/>
  <c r="F873" i="4"/>
  <c r="F872" i="4"/>
  <c r="F871" i="4"/>
  <c r="F870" i="4"/>
  <c r="F869" i="4"/>
  <c r="F868" i="4"/>
  <c r="F867" i="4"/>
  <c r="F866" i="4"/>
  <c r="F865" i="4"/>
  <c r="F864" i="4"/>
  <c r="F863" i="4"/>
  <c r="F862" i="4"/>
  <c r="F861" i="4"/>
  <c r="F860" i="4"/>
  <c r="F859" i="4"/>
  <c r="F858" i="4"/>
  <c r="F857" i="4"/>
  <c r="F856" i="4"/>
  <c r="F855" i="4"/>
  <c r="F854" i="4"/>
  <c r="F853" i="4"/>
  <c r="F852" i="4"/>
  <c r="F851" i="4"/>
  <c r="F850" i="4"/>
  <c r="F849" i="4"/>
  <c r="F848" i="4"/>
  <c r="F847" i="4"/>
  <c r="F846" i="4"/>
  <c r="F845" i="4"/>
  <c r="F844" i="4"/>
  <c r="F843" i="4"/>
  <c r="F842" i="4"/>
  <c r="F841" i="4"/>
  <c r="F840" i="4"/>
  <c r="F839" i="4"/>
  <c r="F838" i="4"/>
  <c r="F837" i="4"/>
  <c r="F836" i="4"/>
  <c r="F835" i="4"/>
  <c r="F834" i="4"/>
  <c r="F833" i="4"/>
  <c r="F832" i="4"/>
  <c r="F831" i="4"/>
  <c r="F830" i="4"/>
  <c r="F829" i="4"/>
  <c r="F828" i="4"/>
  <c r="F827" i="4"/>
  <c r="F826" i="4"/>
  <c r="F825" i="4"/>
  <c r="F824" i="4"/>
  <c r="F823" i="4"/>
  <c r="F822" i="4"/>
  <c r="F821" i="4"/>
  <c r="F820" i="4"/>
  <c r="F819" i="4"/>
  <c r="F818" i="4"/>
  <c r="F817" i="4"/>
  <c r="F816" i="4"/>
  <c r="F815" i="4"/>
  <c r="F814" i="4"/>
  <c r="F813" i="4"/>
  <c r="F812" i="4"/>
  <c r="F811" i="4"/>
  <c r="F810" i="4"/>
  <c r="F809" i="4"/>
  <c r="F808" i="4"/>
  <c r="F807" i="4"/>
  <c r="F806" i="4"/>
  <c r="F805" i="4"/>
  <c r="F804" i="4"/>
  <c r="F803" i="4"/>
  <c r="F802" i="4"/>
  <c r="F801" i="4"/>
  <c r="F800" i="4"/>
  <c r="F799" i="4"/>
  <c r="F798" i="4"/>
  <c r="F797" i="4"/>
  <c r="F796" i="4"/>
  <c r="F795" i="4"/>
  <c r="F794" i="4"/>
  <c r="F793" i="4"/>
  <c r="F792" i="4"/>
  <c r="F791" i="4"/>
  <c r="F790" i="4"/>
  <c r="F789" i="4"/>
  <c r="F788" i="4"/>
  <c r="F787" i="4"/>
  <c r="F786" i="4"/>
  <c r="F785" i="4"/>
  <c r="F784" i="4"/>
  <c r="F783" i="4"/>
  <c r="F782" i="4"/>
  <c r="F781" i="4"/>
  <c r="F780" i="4"/>
  <c r="F779" i="4"/>
  <c r="F778" i="4"/>
  <c r="F777" i="4"/>
  <c r="F776" i="4"/>
  <c r="F775" i="4"/>
  <c r="F774" i="4"/>
  <c r="F773" i="4"/>
  <c r="F772" i="4"/>
  <c r="F771" i="4"/>
  <c r="F770" i="4"/>
  <c r="F769" i="4"/>
  <c r="F768" i="4"/>
  <c r="F767" i="4"/>
  <c r="F766" i="4"/>
  <c r="F765" i="4"/>
  <c r="F764" i="4"/>
  <c r="F763" i="4"/>
  <c r="F762" i="4"/>
  <c r="F761" i="4"/>
  <c r="F760" i="4"/>
  <c r="F759" i="4"/>
  <c r="F758" i="4"/>
  <c r="F757" i="4"/>
  <c r="F756" i="4"/>
  <c r="F755" i="4"/>
  <c r="F754" i="4"/>
  <c r="F753" i="4"/>
  <c r="F752" i="4"/>
  <c r="F751" i="4"/>
  <c r="F750" i="4"/>
  <c r="F749" i="4"/>
  <c r="F748" i="4"/>
  <c r="F747" i="4"/>
  <c r="F746" i="4"/>
  <c r="F745" i="4"/>
  <c r="F744" i="4"/>
  <c r="F743" i="4"/>
  <c r="F742" i="4"/>
  <c r="F741" i="4"/>
  <c r="F740" i="4"/>
  <c r="F739" i="4"/>
  <c r="F738" i="4"/>
  <c r="F737" i="4"/>
  <c r="F736" i="4"/>
  <c r="F735" i="4"/>
  <c r="F734" i="4"/>
  <c r="F733" i="4"/>
  <c r="F732" i="4"/>
  <c r="F731" i="4"/>
  <c r="F730" i="4"/>
  <c r="F729" i="4"/>
  <c r="F728" i="4"/>
  <c r="F727" i="4"/>
  <c r="F726" i="4"/>
  <c r="F725" i="4"/>
  <c r="F724" i="4"/>
  <c r="F723" i="4"/>
  <c r="F722" i="4"/>
  <c r="F721" i="4"/>
  <c r="F720" i="4"/>
  <c r="F719" i="4"/>
  <c r="F718" i="4"/>
  <c r="F717" i="4"/>
  <c r="F716" i="4"/>
  <c r="F715" i="4"/>
  <c r="F714" i="4"/>
  <c r="F713" i="4"/>
  <c r="F712" i="4"/>
  <c r="F711" i="4"/>
  <c r="F710" i="4"/>
  <c r="F709" i="4"/>
  <c r="F708" i="4"/>
  <c r="F707" i="4"/>
  <c r="F706" i="4"/>
  <c r="F705" i="4"/>
  <c r="F704" i="4"/>
  <c r="F703" i="4"/>
  <c r="F702" i="4"/>
  <c r="F701" i="4"/>
  <c r="F700" i="4"/>
  <c r="F699" i="4"/>
  <c r="F698" i="4"/>
  <c r="F697" i="4"/>
  <c r="F696" i="4"/>
  <c r="F695" i="4"/>
  <c r="F694" i="4"/>
  <c r="F693" i="4"/>
  <c r="F692" i="4"/>
  <c r="F691" i="4"/>
  <c r="F690" i="4"/>
  <c r="F689" i="4"/>
  <c r="F688" i="4"/>
  <c r="F687" i="4"/>
  <c r="F686" i="4"/>
  <c r="F685" i="4"/>
  <c r="F684" i="4"/>
  <c r="F683" i="4"/>
  <c r="F682" i="4"/>
  <c r="F681" i="4"/>
  <c r="F680" i="4"/>
  <c r="F679" i="4"/>
  <c r="F678" i="4"/>
  <c r="F677" i="4"/>
  <c r="F676" i="4"/>
  <c r="F675" i="4"/>
  <c r="F674" i="4"/>
  <c r="F673" i="4"/>
  <c r="F672" i="4"/>
  <c r="F671" i="4"/>
  <c r="F670" i="4"/>
  <c r="F669" i="4"/>
  <c r="F668" i="4"/>
  <c r="F667" i="4"/>
  <c r="F666" i="4"/>
  <c r="F665" i="4"/>
  <c r="F664" i="4"/>
  <c r="F663" i="4"/>
  <c r="F662" i="4"/>
  <c r="F661" i="4"/>
  <c r="F660" i="4"/>
  <c r="F659" i="4"/>
  <c r="F658" i="4"/>
  <c r="F657" i="4"/>
  <c r="F656" i="4"/>
  <c r="F655" i="4"/>
  <c r="F654" i="4"/>
  <c r="F653" i="4"/>
  <c r="F652" i="4"/>
  <c r="F651" i="4"/>
  <c r="F650" i="4"/>
  <c r="F649" i="4"/>
  <c r="F648" i="4"/>
  <c r="F647" i="4"/>
  <c r="F646" i="4"/>
  <c r="F645" i="4"/>
  <c r="F644" i="4"/>
  <c r="F643" i="4"/>
  <c r="F642" i="4"/>
  <c r="F641" i="4"/>
  <c r="F640" i="4"/>
  <c r="F639" i="4"/>
  <c r="F638" i="4"/>
  <c r="F637" i="4"/>
  <c r="F636" i="4"/>
  <c r="F635" i="4"/>
  <c r="F634" i="4"/>
  <c r="F633" i="4"/>
  <c r="F632" i="4"/>
  <c r="F631" i="4"/>
  <c r="F630" i="4"/>
  <c r="F629" i="4"/>
  <c r="F628" i="4"/>
  <c r="F627" i="4"/>
  <c r="F626" i="4"/>
  <c r="F625" i="4"/>
  <c r="F624" i="4"/>
  <c r="F623" i="4"/>
  <c r="F622" i="4"/>
  <c r="F621" i="4"/>
  <c r="F620" i="4"/>
  <c r="F619" i="4"/>
  <c r="F618" i="4"/>
  <c r="F617" i="4"/>
  <c r="F616" i="4"/>
  <c r="F615" i="4"/>
  <c r="F614" i="4"/>
  <c r="F613" i="4"/>
  <c r="F612" i="4"/>
  <c r="F611" i="4"/>
  <c r="F610" i="4"/>
  <c r="F609" i="4"/>
  <c r="F608" i="4"/>
  <c r="F607" i="4"/>
  <c r="F606" i="4"/>
  <c r="F605" i="4"/>
  <c r="F604" i="4"/>
  <c r="F603" i="4"/>
  <c r="F602" i="4"/>
  <c r="F601" i="4"/>
  <c r="F600" i="4"/>
  <c r="F599" i="4"/>
  <c r="F598" i="4"/>
  <c r="F597" i="4"/>
  <c r="F596" i="4"/>
  <c r="F595" i="4"/>
  <c r="F594" i="4"/>
  <c r="F593" i="4"/>
  <c r="F592" i="4"/>
  <c r="F591" i="4"/>
  <c r="F590" i="4"/>
  <c r="F589" i="4"/>
  <c r="F588" i="4"/>
  <c r="F587" i="4"/>
  <c r="F586" i="4"/>
  <c r="F585" i="4"/>
  <c r="F584" i="4"/>
  <c r="F583" i="4"/>
  <c r="F582" i="4"/>
  <c r="F581" i="4"/>
  <c r="F580" i="4"/>
  <c r="F579" i="4"/>
  <c r="F578" i="4"/>
  <c r="F577" i="4"/>
  <c r="F576" i="4"/>
  <c r="F575" i="4"/>
  <c r="F574" i="4"/>
  <c r="F573" i="4"/>
  <c r="F572" i="4"/>
  <c r="F571" i="4"/>
  <c r="F570" i="4"/>
  <c r="F569" i="4"/>
  <c r="F568" i="4"/>
  <c r="F567" i="4"/>
  <c r="F566" i="4"/>
  <c r="F565" i="4"/>
  <c r="F564" i="4"/>
  <c r="F563" i="4"/>
  <c r="F562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43" i="4"/>
  <c r="F542" i="4"/>
  <c r="F541" i="4"/>
  <c r="F540" i="4"/>
  <c r="F539" i="4"/>
  <c r="F538" i="4"/>
  <c r="F537" i="4"/>
  <c r="F536" i="4"/>
  <c r="F535" i="4"/>
  <c r="F534" i="4"/>
  <c r="F533" i="4"/>
  <c r="F532" i="4"/>
  <c r="F531" i="4"/>
  <c r="F530" i="4"/>
  <c r="F529" i="4"/>
  <c r="F528" i="4"/>
  <c r="F527" i="4"/>
  <c r="F526" i="4"/>
  <c r="F525" i="4"/>
  <c r="F524" i="4"/>
  <c r="F523" i="4"/>
  <c r="F522" i="4"/>
  <c r="F521" i="4"/>
  <c r="F520" i="4"/>
  <c r="F519" i="4"/>
  <c r="F518" i="4"/>
  <c r="F517" i="4"/>
  <c r="F516" i="4"/>
  <c r="F515" i="4"/>
  <c r="F514" i="4"/>
  <c r="F513" i="4"/>
  <c r="F512" i="4"/>
  <c r="F511" i="4"/>
  <c r="F510" i="4"/>
  <c r="F509" i="4"/>
  <c r="F508" i="4"/>
  <c r="F507" i="4"/>
  <c r="F506" i="4"/>
  <c r="F505" i="4"/>
  <c r="F504" i="4"/>
  <c r="F503" i="4"/>
  <c r="F502" i="4"/>
  <c r="F501" i="4"/>
  <c r="F500" i="4"/>
  <c r="F499" i="4"/>
  <c r="F498" i="4"/>
  <c r="F497" i="4"/>
  <c r="F496" i="4"/>
  <c r="F495" i="4"/>
  <c r="F494" i="4"/>
  <c r="F493" i="4"/>
  <c r="F492" i="4"/>
  <c r="F491" i="4"/>
  <c r="F490" i="4"/>
  <c r="F489" i="4"/>
  <c r="F488" i="4"/>
  <c r="F487" i="4"/>
  <c r="F486" i="4"/>
  <c r="F485" i="4"/>
  <c r="F484" i="4"/>
  <c r="F483" i="4"/>
  <c r="F482" i="4"/>
  <c r="F481" i="4"/>
  <c r="F480" i="4"/>
  <c r="F479" i="4"/>
  <c r="F478" i="4"/>
  <c r="F477" i="4"/>
  <c r="F476" i="4"/>
  <c r="F475" i="4"/>
  <c r="F474" i="4"/>
  <c r="F473" i="4"/>
  <c r="F472" i="4"/>
  <c r="F471" i="4"/>
  <c r="F470" i="4"/>
  <c r="F469" i="4"/>
  <c r="F468" i="4"/>
  <c r="F467" i="4"/>
  <c r="F466" i="4"/>
  <c r="F465" i="4"/>
  <c r="F464" i="4"/>
  <c r="F463" i="4"/>
  <c r="F462" i="4"/>
  <c r="F461" i="4"/>
  <c r="F460" i="4"/>
  <c r="F459" i="4"/>
  <c r="F458" i="4"/>
  <c r="F457" i="4"/>
  <c r="F456" i="4"/>
  <c r="F455" i="4"/>
  <c r="F454" i="4"/>
  <c r="F453" i="4"/>
  <c r="F452" i="4"/>
  <c r="F451" i="4"/>
  <c r="F450" i="4"/>
  <c r="F449" i="4"/>
  <c r="F448" i="4"/>
  <c r="F447" i="4"/>
  <c r="F446" i="4"/>
  <c r="F445" i="4"/>
  <c r="F444" i="4"/>
  <c r="F443" i="4"/>
  <c r="F442" i="4"/>
  <c r="F441" i="4"/>
  <c r="F440" i="4"/>
  <c r="F439" i="4"/>
  <c r="F438" i="4"/>
  <c r="F437" i="4"/>
  <c r="F436" i="4"/>
  <c r="F435" i="4"/>
  <c r="F434" i="4"/>
  <c r="F433" i="4"/>
  <c r="F432" i="4"/>
  <c r="F431" i="4"/>
  <c r="F430" i="4"/>
  <c r="F429" i="4"/>
  <c r="F428" i="4"/>
  <c r="F427" i="4"/>
  <c r="F426" i="4"/>
  <c r="F425" i="4"/>
  <c r="F424" i="4"/>
  <c r="F423" i="4"/>
  <c r="F422" i="4"/>
  <c r="F421" i="4"/>
  <c r="F420" i="4"/>
  <c r="F419" i="4"/>
  <c r="F418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I2" i="4"/>
  <c r="G14" i="3"/>
  <c r="H14" i="3" s="1"/>
  <c r="I14" i="3" s="1"/>
  <c r="L22" i="5" s="1"/>
  <c r="G13" i="3"/>
  <c r="H13" i="3" s="1"/>
  <c r="I13" i="3" s="1"/>
  <c r="K22" i="5" s="1"/>
  <c r="G12" i="3"/>
  <c r="H12" i="3" s="1"/>
  <c r="I12" i="3" s="1"/>
  <c r="J22" i="5" s="1"/>
  <c r="G11" i="3"/>
  <c r="H11" i="3" s="1"/>
  <c r="I11" i="3" s="1"/>
  <c r="I22" i="5" s="1"/>
  <c r="G10" i="3"/>
  <c r="H10" i="3" s="1"/>
  <c r="I10" i="3" s="1"/>
  <c r="H22" i="5" s="1"/>
  <c r="G9" i="3"/>
  <c r="H9" i="3" s="1"/>
  <c r="I9" i="3" s="1"/>
  <c r="G22" i="5" s="1"/>
  <c r="G8" i="3"/>
  <c r="H8" i="3" s="1"/>
  <c r="I8" i="3" s="1"/>
  <c r="F22" i="5" s="1"/>
  <c r="G7" i="3"/>
  <c r="H7" i="3" s="1"/>
  <c r="I7" i="3" s="1"/>
  <c r="E22" i="5" s="1"/>
  <c r="G6" i="3"/>
  <c r="H6" i="3" s="1"/>
  <c r="I6" i="3" s="1"/>
  <c r="D22" i="5" s="1"/>
  <c r="G5" i="3"/>
  <c r="H5" i="3" s="1"/>
  <c r="I5" i="3" s="1"/>
  <c r="C22" i="5" s="1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X29" i="2"/>
  <c r="W29" i="2"/>
  <c r="X28" i="2"/>
  <c r="W28" i="2"/>
  <c r="X27" i="2"/>
  <c r="W27" i="2"/>
  <c r="X26" i="2"/>
  <c r="W26" i="2"/>
  <c r="X25" i="2"/>
  <c r="W25" i="2"/>
  <c r="X24" i="2"/>
  <c r="W24" i="2"/>
  <c r="X23" i="2"/>
  <c r="W23" i="2"/>
  <c r="X22" i="2"/>
  <c r="W22" i="2"/>
  <c r="X21" i="2"/>
  <c r="W21" i="2"/>
  <c r="X20" i="2"/>
  <c r="W20" i="2"/>
  <c r="X19" i="2"/>
  <c r="W19" i="2"/>
  <c r="X18" i="2"/>
  <c r="W18" i="2"/>
  <c r="W14" i="2"/>
  <c r="V14" i="2"/>
  <c r="X14" i="2" s="1"/>
  <c r="W13" i="2"/>
  <c r="V13" i="2"/>
  <c r="X13" i="2" s="1"/>
  <c r="W12" i="2"/>
  <c r="V12" i="2"/>
  <c r="X12" i="2" s="1"/>
  <c r="W11" i="2"/>
  <c r="V11" i="2"/>
  <c r="X11" i="2" s="1"/>
  <c r="W10" i="2"/>
  <c r="V10" i="2"/>
  <c r="X10" i="2" s="1"/>
  <c r="W9" i="2"/>
  <c r="V9" i="2"/>
  <c r="X9" i="2" s="1"/>
  <c r="L9" i="2"/>
  <c r="G9" i="2"/>
  <c r="W8" i="2"/>
  <c r="V8" i="2"/>
  <c r="X8" i="2" s="1"/>
  <c r="W7" i="2"/>
  <c r="V7" i="2"/>
  <c r="X7" i="2" s="1"/>
  <c r="W6" i="2"/>
  <c r="V6" i="2"/>
  <c r="X6" i="2" s="1"/>
  <c r="V5" i="2"/>
  <c r="M12" i="5" l="1"/>
  <c r="W38" i="2" s="1"/>
  <c r="X38" i="2" s="1"/>
  <c r="D24" i="5"/>
  <c r="C12" i="6"/>
  <c r="E12" i="6" s="1"/>
  <c r="D12" i="6"/>
  <c r="B2" i="2"/>
  <c r="C30" i="5"/>
  <c r="M18" i="5"/>
  <c r="W44" i="2" s="1"/>
  <c r="X44" i="2" s="1"/>
  <c r="M17" i="5"/>
  <c r="W43" i="2" s="1"/>
  <c r="X43" i="2" s="1"/>
  <c r="Y25" i="2"/>
  <c r="Y22" i="2"/>
  <c r="M10" i="5"/>
  <c r="W36" i="2" s="1"/>
  <c r="X36" i="2" s="1"/>
  <c r="D25" i="5"/>
  <c r="Y21" i="2"/>
  <c r="M7" i="5"/>
  <c r="L24" i="5"/>
  <c r="K24" i="5"/>
  <c r="J24" i="5"/>
  <c r="J26" i="5" s="1"/>
  <c r="I24" i="5"/>
  <c r="H24" i="5"/>
  <c r="G24" i="5"/>
  <c r="F24" i="5"/>
  <c r="E24" i="5"/>
  <c r="Y26" i="2"/>
  <c r="Y18" i="2"/>
  <c r="G25" i="5"/>
  <c r="Y27" i="2"/>
  <c r="Y19" i="2"/>
  <c r="K25" i="5"/>
  <c r="Y29" i="2"/>
  <c r="I25" i="5"/>
  <c r="E25" i="5"/>
  <c r="E9" i="6"/>
  <c r="L25" i="5"/>
  <c r="Y28" i="2"/>
  <c r="J25" i="5"/>
  <c r="F25" i="5"/>
  <c r="H25" i="5"/>
  <c r="Y23" i="2"/>
  <c r="Y24" i="2"/>
  <c r="Y20" i="2"/>
  <c r="D13" i="6"/>
  <c r="C13" i="6"/>
  <c r="D14" i="6"/>
  <c r="C11" i="6"/>
  <c r="E11" i="6" s="1"/>
  <c r="E7" i="6"/>
  <c r="C18" i="6"/>
  <c r="D17" i="6"/>
  <c r="D18" i="6"/>
  <c r="C14" i="6"/>
  <c r="D16" i="6"/>
  <c r="C16" i="6"/>
  <c r="C17" i="6"/>
  <c r="D15" i="6"/>
  <c r="D19" i="6" s="1"/>
  <c r="C15" i="6"/>
  <c r="C25" i="5"/>
  <c r="M8" i="5"/>
  <c r="C24" i="5"/>
  <c r="M6" i="5"/>
  <c r="K26" i="5"/>
  <c r="M22" i="5"/>
  <c r="W48" i="2" s="1"/>
  <c r="X48" i="2" s="1"/>
  <c r="D26" i="5" l="1"/>
  <c r="E17" i="6"/>
  <c r="L26" i="5"/>
  <c r="I26" i="5"/>
  <c r="H26" i="5"/>
  <c r="G26" i="5"/>
  <c r="F26" i="5"/>
  <c r="E26" i="5"/>
  <c r="E13" i="6"/>
  <c r="F13" i="6" s="1"/>
  <c r="F7" i="6"/>
  <c r="F9" i="6"/>
  <c r="F11" i="6"/>
  <c r="F8" i="6"/>
  <c r="F12" i="6"/>
  <c r="F10" i="6"/>
  <c r="W34" i="2"/>
  <c r="X34" i="2" s="1"/>
  <c r="M25" i="5"/>
  <c r="G5" i="2" s="1"/>
  <c r="M24" i="5"/>
  <c r="C28" i="5"/>
  <c r="E15" i="6"/>
  <c r="C26" i="5"/>
  <c r="W5" i="2" s="1"/>
  <c r="X5" i="2" s="1"/>
  <c r="E18" i="6"/>
  <c r="E16" i="6"/>
  <c r="E14" i="6"/>
  <c r="C19" i="6"/>
  <c r="F14" i="6" l="1"/>
  <c r="V53" i="2"/>
  <c r="W53" i="2"/>
  <c r="V54" i="2"/>
  <c r="W54" i="2"/>
  <c r="V55" i="2"/>
  <c r="W55" i="2"/>
  <c r="V56" i="2"/>
  <c r="W56" i="2"/>
  <c r="V57" i="2"/>
  <c r="W57" i="2"/>
  <c r="V58" i="2"/>
  <c r="W58" i="2"/>
  <c r="V59" i="2"/>
  <c r="W59" i="2"/>
  <c r="V60" i="2"/>
  <c r="W60" i="2"/>
  <c r="B5" i="2"/>
  <c r="B9" i="2"/>
  <c r="M26" i="5"/>
  <c r="L5" i="2" s="1"/>
  <c r="V72" i="2"/>
  <c r="W63" i="2"/>
  <c r="W72" i="2"/>
  <c r="W71" i="2"/>
  <c r="V71" i="2"/>
  <c r="W70" i="2"/>
  <c r="V70" i="2"/>
  <c r="W69" i="2"/>
  <c r="V69" i="2"/>
  <c r="W68" i="2"/>
  <c r="V68" i="2"/>
  <c r="W67" i="2"/>
  <c r="V67" i="2"/>
  <c r="W66" i="2"/>
  <c r="V66" i="2"/>
  <c r="W65" i="2"/>
  <c r="V65" i="2"/>
  <c r="W64" i="2"/>
  <c r="V64" i="2"/>
  <c r="V63" i="2"/>
  <c r="F18" i="6"/>
  <c r="E19" i="6"/>
  <c r="F17" i="6"/>
  <c r="F15" i="6"/>
  <c r="F16" i="6"/>
</calcChain>
</file>

<file path=xl/sharedStrings.xml><?xml version="1.0" encoding="utf-8"?>
<sst xmlns="http://schemas.openxmlformats.org/spreadsheetml/2006/main" count="310" uniqueCount="169">
  <si>
    <t>Rental Property Tracker</t>
  </si>
  <si>
    <t>Income, expenses, rent roll and a Schedule E-ready summary for 1-10 properties. Works in Excel and Google Sheets.</t>
  </si>
  <si>
    <t>QUICK START (10 minutes)</t>
  </si>
  <si>
    <t>1. Set your tax year on the 'Schedule E Summary' tab (cell C3). The 'Dashboard' tab shows your whole portfolio at a glance.</t>
  </si>
  <si>
    <t>2. 'Properties' tab: enter each property's name, purchase date, price and land value in the yellow cells. First clear the EXAMPLE rows: Properties row 5, Transactions rows 5-28 and Rent Roll rows 5-6 (select the yellow cells, press Delete).</t>
  </si>
  <si>
    <t>3. 'Transactions' tab: log every rent payment and expense. Pick property and category from the dropdowns; enter amounts as positive numbers.</t>
  </si>
  <si>
    <t>4. 'Schedule E Summary' fills itself in by property and by Schedule E line. Give it to your tax preparer or copy the totals into your return.</t>
  </si>
  <si>
    <t>5. 'Monthly P&amp;L' shows month-by-month income, expenses and cash flow for one property or all of them (dropdown in C3).</t>
  </si>
  <si>
    <t>6. 'Rent Roll' tracks tenants, rent, deposits and lease end dates, and flags leases ending within 60 days.</t>
  </si>
  <si>
    <t>7. Red cells on Transactions mean a row needs fixing (bad date, unknown property or category, or text in the amount). The count shows at the top of that tab and on the Dashboard.</t>
  </si>
  <si>
    <t>8. Room for 1,000 transactions. Need more? Right-click a row number in the middle of the list &gt; Insert; every total expands automatically.</t>
  </si>
  <si>
    <t>COLOR KEY</t>
  </si>
  <si>
    <t>Yellow cells = you type here.  White cells = formulas, leave them alone.  Rows marked EXAMPLE show the format; delete them when you start.</t>
  </si>
  <si>
    <t>USING GOOGLE SHEETS?</t>
  </si>
  <si>
    <t>Open sheets.google.com &gt; File &gt; Import &gt; Upload this .xlsx &gt; 'Replace spreadsheet'. Formulas and dropdowns carry over.</t>
  </si>
  <si>
    <t>ABOUT DEPRECIATION</t>
  </si>
  <si>
    <t>Estimated with the 27.5-year straight-line method for residential rental buildings, mid-month convention in the first year (IRS Publication 527).</t>
  </si>
  <si>
    <t>Only the building is depreciated, not the land, which is why the Properties tab asks for land value. Improvements and years beyond 27.5 are not modeled.</t>
  </si>
  <si>
    <t>IMPORTANT</t>
  </si>
  <si>
    <t>A record-keeping aid, not tax advice. Categories follow the line items on IRS Schedule E (Form 1040), Part I. Confirm figures with a tax professional.</t>
  </si>
  <si>
    <t>Questions or a formula not behaving? Email nora@qnsai.com. Made by Nora Studio.</t>
  </si>
  <si>
    <t>Portfolio Dashboard</t>
  </si>
  <si>
    <t>Chart data (do not edit)</t>
  </si>
  <si>
    <t>TOTAL INCOME</t>
  </si>
  <si>
    <t>TOTAL EXPENSES</t>
  </si>
  <si>
    <t>NET INCOME (SCH E)</t>
  </si>
  <si>
    <t>Property</t>
  </si>
  <si>
    <t>Net income</t>
  </si>
  <si>
    <t>Sort key</t>
  </si>
  <si>
    <t>CASH FLOW (NO DEPR.)</t>
  </si>
  <si>
    <t>MONTHLY RENT ROLL</t>
  </si>
  <si>
    <t>PROPERTIES</t>
  </si>
  <si>
    <t>Month</t>
  </si>
  <si>
    <t>Income</t>
  </si>
  <si>
    <t>Expenses</t>
  </si>
  <si>
    <t>Net cash flow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</si>
  <si>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</si>
  <si>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</si>
  <si>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</si>
  <si>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</si>
  <si>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</si>
  <si>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</si>
  <si>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</si>
  <si>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</si>
  <si>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</si>
  <si>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</si>
  <si>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</si>
  <si>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</si>
  <si>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Expense category</t>
  </si>
  <si>
    <t>Amount</t>
  </si>
  <si>
    <t>Top expenses</t>
  </si>
  <si>
    <t>Property (sorted)</t>
  </si>
  <si>
    <t>Properties</t>
  </si>
  <si>
    <t>Up to 10 properties. Yellow = you type.</t>
  </si>
  <si>
    <t>#</t>
  </si>
  <si>
    <t>Property name / address</t>
  </si>
  <si>
    <t>Units</t>
  </si>
  <si>
    <t>Purchase date</t>
  </si>
  <si>
    <t>Purchase price</t>
  </si>
  <si>
    <t>Land value</t>
  </si>
  <si>
    <t>Building basis</t>
  </si>
  <si>
    <t>Annual depreciation (full year)</t>
  </si>
  <si>
    <t>Depreciation in tax year</t>
  </si>
  <si>
    <t>EXAMPLE: 412 Maple St (duplex)</t>
  </si>
  <si>
    <t>Building basis = purchase price minus land value. Depreciation: residential rental, 27.5-year straight line, mid-month convention in the year placed in service (IRS Publication 527).</t>
  </si>
  <si>
    <t>Transactions</t>
  </si>
  <si>
    <t>One row per payment. Amounts are always positive; the Type column works out income vs. expense.</t>
  </si>
  <si>
    <t>Rows to fix:</t>
  </si>
  <si>
    <t>Red cell = something to fix (bad date, unknown property, category or amount). That row stays out of the totals until fixed.</t>
  </si>
  <si>
    <t>Date</t>
  </si>
  <si>
    <t>Category</t>
  </si>
  <si>
    <t>Description / payee</t>
  </si>
  <si>
    <t>Type</t>
  </si>
  <si>
    <t>Rents received</t>
  </si>
  <si>
    <t>Units A+B - January rent</t>
  </si>
  <si>
    <t>Repairs</t>
  </si>
  <si>
    <t>Plumber - kitchen leak</t>
  </si>
  <si>
    <t>Mortgage interest paid to banks</t>
  </si>
  <si>
    <t>Bank - January interest</t>
  </si>
  <si>
    <t>Units A+B - February rent</t>
  </si>
  <si>
    <t>Insurance</t>
  </si>
  <si>
    <t>Landlord policy - annual</t>
  </si>
  <si>
    <t>Bank - February interest</t>
  </si>
  <si>
    <t>Units A+B - March rent</t>
  </si>
  <si>
    <t>Bank - March interest</t>
  </si>
  <si>
    <t>Units A+B - April rent</t>
  </si>
  <si>
    <t>Taxes</t>
  </si>
  <si>
    <t>Property tax - 1st half</t>
  </si>
  <si>
    <t>Bank - April interest</t>
  </si>
  <si>
    <t>Units A+B - May rent</t>
  </si>
  <si>
    <t>Bank - May interest</t>
  </si>
  <si>
    <t>Units A+B - June rent</t>
  </si>
  <si>
    <t>Bank - June interest</t>
  </si>
  <si>
    <t>Units A+B - July rent</t>
  </si>
  <si>
    <t>Bank - July interest</t>
  </si>
  <si>
    <t>Units A+B - August rent</t>
  </si>
  <si>
    <t>Bank - August interest</t>
  </si>
  <si>
    <t>Units A+B - September rent</t>
  </si>
  <si>
    <t>Bank - September interest</t>
  </si>
  <si>
    <t>Units A+B - October rent</t>
  </si>
  <si>
    <t>Property tax - 2nd half</t>
  </si>
  <si>
    <t>Bank - October interest</t>
  </si>
  <si>
    <t>Schedule E Summary</t>
  </si>
  <si>
    <t>Tax year:</t>
  </si>
  <si>
    <t>Totals by IRS Schedule E (Form 1040) Part I line. Columns follow the order of the Properties tab.</t>
  </si>
  <si>
    <t>Line</t>
  </si>
  <si>
    <t>TOTAL</t>
  </si>
  <si>
    <t>3</t>
  </si>
  <si>
    <t>Other rental income</t>
  </si>
  <si>
    <t>5</t>
  </si>
  <si>
    <t>Advertising</t>
  </si>
  <si>
    <t>6</t>
  </si>
  <si>
    <t>Auto and travel</t>
  </si>
  <si>
    <t>7</t>
  </si>
  <si>
    <t>Cleaning and maintenance</t>
  </si>
  <si>
    <t>8</t>
  </si>
  <si>
    <t>Commissions</t>
  </si>
  <si>
    <t>9</t>
  </si>
  <si>
    <t>10</t>
  </si>
  <si>
    <t>Legal and other professional fees</t>
  </si>
  <si>
    <t>11</t>
  </si>
  <si>
    <t>Management fees</t>
  </si>
  <si>
    <t>12</t>
  </si>
  <si>
    <t>13</t>
  </si>
  <si>
    <t>Other interest</t>
  </si>
  <si>
    <t>14</t>
  </si>
  <si>
    <t>15</t>
  </si>
  <si>
    <t>Supplies</t>
  </si>
  <si>
    <t>16</t>
  </si>
  <si>
    <t>17</t>
  </si>
  <si>
    <t>Utilities</t>
  </si>
  <si>
    <t>19</t>
  </si>
  <si>
    <t>Other</t>
  </si>
  <si>
    <t>18</t>
  </si>
  <si>
    <t>Depreciation (estimated)</t>
  </si>
  <si>
    <t>Total income (line 3)</t>
  </si>
  <si>
    <t>Total expenses (line 20)</t>
  </si>
  <si>
    <t>Net income or (loss) (line 21)</t>
  </si>
  <si>
    <t>Unassigned amounts this year:</t>
  </si>
  <si>
    <t>If this isn't zero, some Transactions rows are missing a property or have an unknown category.</t>
  </si>
  <si>
    <t>Transactions rows to fix (red cells):</t>
  </si>
  <si>
    <t>Monthly P&amp;L</t>
  </si>
  <si>
    <t>Property:</t>
  </si>
  <si>
    <t>All properties</t>
  </si>
  <si>
    <t>Year to date</t>
  </si>
  <si>
    <t>Total</t>
  </si>
  <si>
    <t>Cash view: excludes depreciation (a non-cash expense).</t>
  </si>
  <si>
    <t>Rent Roll</t>
  </si>
  <si>
    <t>One row per unit. Leases ending within 60 days turn orange; expired leases turn red.</t>
  </si>
  <si>
    <t>Unit</t>
  </si>
  <si>
    <t>Tenant</t>
  </si>
  <si>
    <t>Phone / email</t>
  </si>
  <si>
    <t>Monthly rent</t>
  </si>
  <si>
    <t>Deposit held</t>
  </si>
  <si>
    <t>Lease start</t>
  </si>
  <si>
    <t>Lease end</t>
  </si>
  <si>
    <t>Days left</t>
  </si>
  <si>
    <t>A</t>
  </si>
  <si>
    <t>J. Rivera</t>
  </si>
  <si>
    <t>jrivera@email.com</t>
  </si>
  <si>
    <t>B</t>
  </si>
  <si>
    <t>M. Chen</t>
  </si>
  <si>
    <t>mchen@email.com</t>
  </si>
  <si>
    <t>Total monthly rent:</t>
  </si>
  <si>
    <t>Sch E line</t>
  </si>
  <si>
    <t>Property choices</t>
  </si>
  <si>
    <t>Income categories (row 2) / expense categories (row 3), horizontal for 2-D totals</t>
  </si>
  <si>
    <t>Valid properties (for totals)</t>
  </si>
  <si>
    <t>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</si>
</sst>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\$#,##0.00;\(\$#,##0.00\);&quot;-&quot;"/>
  </numFmts>
  <fonts count="17" x14ac:knownFonts="1">
    <font>
      <sz val="11"/>
      <color theme="1"/>
      <name val="Calibri"/>
      <family val="2"/>
      <scheme val="minor"/>
    </font>
    <font>
      <b/>
      <sz val="18"/>
      <color rgb="FF5B3A86"/>
      <name val="Arial"/>
    </font>
    <font>
      <sz val="11"/>
      <color rgb="FF555555"/>
      <name val="Arial"/>
    </font>
    <font>
      <b/>
      <sz val="11"/>
      <color rgb="FF5B3A86"/>
      <name val="Arial"/>
    </font>
    <font>
      <sz val="11"/>
      <color rgb="FF222222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i/>
      <sz val="9"/>
      <color rgb="FF666666"/>
      <name val="Arial"/>
    </font>
    <font>
      <b/>
      <sz val="10"/>
      <color rgb="FFB03A2E"/>
      <name val="Arial"/>
    </font>
    <font>
      <b/>
      <sz val="10"/>
      <name val="Arial"/>
    </font>
    <font>
      <b/>
      <sz val="12"/>
      <color rgb="FF0000FF"/>
      <name val="Arial"/>
    </font>
    <font>
      <sz val="10"/>
      <color rgb="FF008000"/>
      <name val="Arial"/>
    </font>
    <font>
      <b/>
      <sz val="11"/>
      <color rgb="FF0000FF"/>
      <name val="Arial"/>
    </font>
    <font>
      <sz val="11"/>
      <color rgb="FF008000"/>
      <name val="Arial"/>
    </font>
    <font>
      <b/>
      <sz val="9"/>
      <color rgb="FF7A6A8E"/>
      <name val="Arial"/>
    </font>
    <font>
      <b/>
      <sz val="20"/>
      <color rgb="FF5B3A86"/>
      <name val="Arial"/>
    </font>
  </fonts>
  <fills count="5">
    <fill>
      <patternFill patternType="none"/>
    </fill>
    <fill>
      <patternFill patternType="gray125"/>
    </fill>
    <fill>
      <patternFill patternType="solid">
        <fgColor rgb="FF5B3A86"/>
      </patternFill>
    </fill>
    <fill>
      <patternFill patternType="solid">
        <fgColor rgb="FFFFF7D6"/>
      </patternFill>
    </fill>
    <fill>
      <patternFill patternType="solid">
        <fgColor rgb="FFF3EEF8"/>
      </patternFill>
    </fill>
  </fills>
  <borders count="3">
    <border>
      <left/>
      <right/>
      <top/>
      <bottom/>
      <diagonal/>
    </border>
    <border>
      <left style="thin">
        <color rgb="FFDDD5E6"/>
      </left>
      <right style="thin">
        <color rgb="FFDDD5E6"/>
      </right>
      <top style="thin">
        <color rgb="FFDDD5E6"/>
      </top>
      <bottom style="thin">
        <color rgb="FFDDD5E6"/>
      </bottom>
      <diagonal/>
    </border>
    <border>
      <left/>
      <right/>
      <top style="medium">
        <color rgb="FF5B3A86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8" fillId="0" borderId="0" xfId="0" applyFont="1"/>
    <xf numFmtId="165" fontId="0" fillId="0" borderId="0" xfId="0" applyNumberFormat="1"/>
    <xf numFmtId="0" fontId="5" fillId="2" borderId="1" xfId="0" applyFont="1" applyFill="1" applyBorder="1" applyAlignment="1">
      <alignment horizontal="center" vertical="center" wrapText="1"/>
    </xf>
    <xf numFmtId="0" fontId="7" fillId="0" borderId="0" xfId="0" applyFont="1"/>
    <xf numFmtId="0" fontId="6" fillId="3" borderId="1" xfId="0" applyFont="1" applyFill="1" applyBorder="1"/>
    <xf numFmtId="164" fontId="6" fillId="3" borderId="1" xfId="0" applyNumberFormat="1" applyFont="1" applyFill="1" applyBorder="1"/>
    <xf numFmtId="165" fontId="6" fillId="3" borderId="1" xfId="0" applyNumberFormat="1" applyFont="1" applyFill="1" applyBorder="1"/>
    <xf numFmtId="165" fontId="7" fillId="0" borderId="1" xfId="0" applyNumberFormat="1" applyFont="1" applyBorder="1"/>
    <xf numFmtId="0" fontId="9" fillId="0" borderId="0" xfId="0" applyFont="1"/>
    <xf numFmtId="0" fontId="10" fillId="0" borderId="0" xfId="0" applyFont="1"/>
    <xf numFmtId="0" fontId="11" fillId="3" borderId="1" xfId="0" applyFont="1" applyFill="1" applyBorder="1"/>
    <xf numFmtId="0" fontId="7" fillId="4" borderId="0" xfId="0" applyFont="1" applyFill="1"/>
    <xf numFmtId="165" fontId="7" fillId="4" borderId="0" xfId="0" applyNumberFormat="1" applyFont="1" applyFill="1"/>
    <xf numFmtId="165" fontId="10" fillId="4" borderId="0" xfId="0" applyNumberFormat="1" applyFont="1" applyFill="1"/>
    <xf numFmtId="165" fontId="7" fillId="0" borderId="0" xfId="0" applyNumberFormat="1" applyFont="1"/>
    <xf numFmtId="165" fontId="10" fillId="0" borderId="0" xfId="0" applyNumberFormat="1" applyFont="1"/>
    <xf numFmtId="165" fontId="12" fillId="0" borderId="0" xfId="0" applyNumberFormat="1" applyFont="1"/>
    <xf numFmtId="0" fontId="3" fillId="0" borderId="0" xfId="0" applyFont="1"/>
    <xf numFmtId="165" fontId="3" fillId="0" borderId="2" xfId="0" applyNumberFormat="1" applyFont="1" applyBorder="1"/>
    <xf numFmtId="165" fontId="8" fillId="0" borderId="0" xfId="0" applyNumberFormat="1" applyFont="1"/>
    <xf numFmtId="0" fontId="13" fillId="3" borderId="1" xfId="0" applyFont="1" applyFill="1" applyBorder="1"/>
    <xf numFmtId="0" fontId="14" fillId="0" borderId="0" xfId="0" applyFont="1" applyAlignment="1">
      <alignment horizontal="left"/>
    </xf>
    <xf numFmtId="0" fontId="7" fillId="0" borderId="1" xfId="0" applyFont="1" applyBorder="1"/>
    <xf numFmtId="0" fontId="7" fillId="4" borderId="1" xfId="0" applyFont="1" applyFill="1" applyBorder="1"/>
    <xf numFmtId="165" fontId="7" fillId="4" borderId="1" xfId="0" applyNumberFormat="1" applyFont="1" applyFill="1" applyBorder="1"/>
    <xf numFmtId="165" fontId="16" fillId="4" borderId="0" xfId="0" applyNumberFormat="1" applyFont="1" applyFill="1" applyAlignment="1">
      <alignment horizontal="left" vertical="center" indent="1"/>
    </xf>
    <xf numFmtId="0" fontId="0" fillId="4" borderId="0" xfId="0" applyFill="1"/>
    <xf numFmtId="0" fontId="15" fillId="4" borderId="0" xfId="0" applyFont="1" applyFill="1" applyAlignment="1">
      <alignment horizontal="left" indent="1"/>
    </xf>
    <xf numFmtId="1" fontId="16" fillId="4" borderId="0" xfId="0" applyNumberFormat="1" applyFont="1" applyFill="1" applyAlignment="1">
      <alignment horizontal="left" vertical="center" indent="1"/>
    </xf>
  </cellXfs>
  <cellStyles count="1">
    <cellStyle name="Normal" xfId="0" builtinId="0"/>
  </cellStyles>
  <dxfs count="7">
    <dxf>
      <fill>
        <patternFill patternType="solid">
          <fgColor rgb="FFFBE0B8"/>
          <bgColor rgb="FFFBE0B8"/>
        </patternFill>
      </fill>
    </dxf>
    <dxf>
      <fill>
        <patternFill patternType="solid">
          <fgColor rgb="FFF8C9C4"/>
          <bgColor rgb="FFF8C9C4"/>
        </patternFill>
      </fill>
    </dxf>
    <dxf>
      <fill>
        <patternFill patternType="solid">
          <fgColor rgb="FFF8C9C4"/>
          <bgColor rgb="FFF8C9C4"/>
        </patternFill>
      </fill>
    </dxf>
    <dxf>
      <fill>
        <patternFill patternType="solid">
          <fgColor rgb="FFF8C9C4"/>
          <bgColor rgb="FFF8C9C4"/>
        </patternFill>
      </fill>
    </dxf>
    <dxf>
      <fill>
        <patternFill patternType="solid">
          <fgColor rgb="FFF8C9C4"/>
          <bgColor rgb="FFF8C9C4"/>
        </patternFill>
      </fill>
    </dxf>
    <dxf>
      <fill>
        <patternFill patternType="solid">
          <fgColor rgb="FFF8C9C4"/>
          <bgColor rgb="FFF8C9C4"/>
        </patternFill>
      </fill>
    </dxf>
    <dxf>
      <fill>
        <patternFill patternType="solid">
          <fgColor rgb="FFF8C9C4"/>
          <bgColor rgb="FFF8C9C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income vs expenses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Dashboard!$W$17</c:f>
              <c:strCache>
                <c:ptCount val="1"/>
                <c:pt idx="0">
                  <c:v>Income</c:v>
                </c:pt>
              </c:strCache>
            </c:strRef>
          </c:tx>
          <c:spPr>
            <a:solidFill>
              <a:srgbClr val="5B3A86"/>
            </a:solidFill>
            <a:ln>
              <a:solidFill>
                <a:srgbClr val="5B3A86"/>
              </a:solidFill>
              <a:prstDash val="solid"/>
            </a:ln>
          </c:spPr>
          <c:invertIfNegative val="0"/>
          <c:cat>
            <c:strRef>
              <c:f>Dashboard!$V$18:$V$29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Dashboard!$W$18:$W$29</c:f>
              <c:numCache>
                <c:formatCode>\$#,##0.00;\(\$#,##0.00\);"-"</c:formatCode>
                <c:ptCount val="12"/>
                <c:pt idx="0">
                  <c:v>2845</c:v>
                </c:pt>
                <c:pt idx="1">
                  <c:v>2845</c:v>
                </c:pt>
                <c:pt idx="2">
                  <c:v>2845</c:v>
                </c:pt>
                <c:pt idx="3">
                  <c:v>2845</c:v>
                </c:pt>
                <c:pt idx="4">
                  <c:v>2845</c:v>
                </c:pt>
                <c:pt idx="5">
                  <c:v>2845</c:v>
                </c:pt>
                <c:pt idx="6">
                  <c:v>2845</c:v>
                </c:pt>
                <c:pt idx="7">
                  <c:v>2845</c:v>
                </c:pt>
                <c:pt idx="8">
                  <c:v>2845</c:v>
                </c:pt>
                <c:pt idx="9">
                  <c:v>2845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A-4A5A-B5F0-5FDF4F0F7B00}"/>
            </c:ext>
          </c:extLst>
        </c:ser>
        <c:ser>
          <c:idx val="1"/>
          <c:order val="1"/>
          <c:tx>
            <c:strRef>
              <c:f>Dashboard!$X$17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C39BE3"/>
            </a:solidFill>
            <a:ln>
              <a:solidFill>
                <a:srgbClr val="C39BE3"/>
              </a:solidFill>
              <a:prstDash val="solid"/>
            </a:ln>
          </c:spPr>
          <c:invertIfNegative val="0"/>
          <c:cat>
            <c:strRef>
              <c:f>Dashboard!$V$18:$V$29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Dashboard!$X$18:$X$29</c:f>
              <c:numCache>
                <c:formatCode>\$#,##0.00;\(\$#,##0.00\);"-"</c:formatCode>
                <c:ptCount val="12"/>
                <c:pt idx="0">
                  <c:v>827.4</c:v>
                </c:pt>
                <c:pt idx="1">
                  <c:v>1662.4</c:v>
                </c:pt>
                <c:pt idx="2">
                  <c:v>612.4</c:v>
                </c:pt>
                <c:pt idx="3">
                  <c:v>2037.4</c:v>
                </c:pt>
                <c:pt idx="4">
                  <c:v>612.4</c:v>
                </c:pt>
                <c:pt idx="5">
                  <c:v>612.4</c:v>
                </c:pt>
                <c:pt idx="6">
                  <c:v>612.4</c:v>
                </c:pt>
                <c:pt idx="7">
                  <c:v>612.4</c:v>
                </c:pt>
                <c:pt idx="8">
                  <c:v>612.4</c:v>
                </c:pt>
                <c:pt idx="9">
                  <c:v>2037.4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EA-4A5A-B5F0-5FDF4F0F7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Top expenses by category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Dashboard!$W$52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C39BE3"/>
            </a:solidFill>
            <a:ln>
              <a:solidFill>
                <a:srgbClr val="C39BE3"/>
              </a:solidFill>
              <a:prstDash val="solid"/>
            </a:ln>
          </c:spPr>
          <c:invertIfNegative val="0"/>
          <c:cat>
            <c:strRef>
              <c:f>Dashboard!$V$53:$V$60</c:f>
              <c:strCache>
                <c:ptCount val="5"/>
                <c:pt idx="0">
                  <c:v>Depreciation (estimated)</c:v>
                </c:pt>
                <c:pt idx="1">
                  <c:v>Mortgage interest paid to banks</c:v>
                </c:pt>
                <c:pt idx="2">
                  <c:v>Taxes</c:v>
                </c:pt>
                <c:pt idx="3">
                  <c:v>Insurance</c:v>
                </c:pt>
                <c:pt idx="4">
                  <c:v>Repairs</c:v>
                </c:pt>
              </c:strCache>
            </c:strRef>
          </c:cat>
          <c:val>
            <c:numRef>
              <c:f>Dashboard!$W$53:$W$60</c:f>
              <c:numCache>
                <c:formatCode>\$#,##0.00;\(\$#,##0.00\);"-"</c:formatCode>
                <c:ptCount val="8"/>
                <c:pt idx="0">
                  <c:v>8181.82</c:v>
                </c:pt>
                <c:pt idx="1">
                  <c:v>6124</c:v>
                </c:pt>
                <c:pt idx="2">
                  <c:v>2850</c:v>
                </c:pt>
                <c:pt idx="3">
                  <c:v>1050</c:v>
                </c:pt>
                <c:pt idx="4">
                  <c:v>215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C6-43F4-A7C2-D9816F7BB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\$#,##0,&quot;K&quot;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Net income by property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Dashboard!$W$62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5B3A86"/>
            </a:solidFill>
            <a:ln>
              <a:solidFill>
                <a:srgbClr val="5B3A86"/>
              </a:solidFill>
              <a:prstDash val="solid"/>
            </a:ln>
          </c:spPr>
          <c:invertIfNegative val="0"/>
          <c:cat>
            <c:strRef>
              <c:f>Dashboard!$V$63:$V$72</c:f>
              <c:strCache>
                <c:ptCount val="1"/>
                <c:pt idx="0">
                  <c:v>EXAMPLE: 412 Maple St (duplex)</c:v>
                </c:pt>
              </c:strCache>
            </c:strRef>
          </c:cat>
          <c:val>
            <c:numRef>
              <c:f>Dashboard!$W$63:$W$72</c:f>
              <c:numCache>
                <c:formatCode>\$#,##0.00;\(\$#,##0.00\);"-"</c:formatCode>
                <c:ptCount val="10"/>
                <c:pt idx="0">
                  <c:v>10029.18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6-4DD7-94E8-F06A6A412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\$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Net cash flow by month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Dashboard!$Y$17</c:f>
              <c:strCache>
                <c:ptCount val="1"/>
                <c:pt idx="0">
                  <c:v>Net cash flow</c:v>
                </c:pt>
              </c:strCache>
            </c:strRef>
          </c:tx>
          <c:spPr>
            <a:solidFill>
              <a:srgbClr val="2E8B57"/>
            </a:solidFill>
            <a:ln>
              <a:solidFill>
                <a:srgbClr val="2E8B57"/>
              </a:solidFill>
              <a:prstDash val="solid"/>
            </a:ln>
          </c:spPr>
          <c:invertIfNegative val="0"/>
          <c:cat>
            <c:strRef>
              <c:f>Dashboard!$V$18:$V$29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Dashboard!$Y$18:$Y$29</c:f>
              <c:numCache>
                <c:formatCode>\$#,##0.00;\(\$#,##0.00\);"-"</c:formatCode>
                <c:ptCount val="12"/>
                <c:pt idx="0">
                  <c:v>2017.6</c:v>
                </c:pt>
                <c:pt idx="1">
                  <c:v>1182.5999999999999</c:v>
                </c:pt>
                <c:pt idx="2">
                  <c:v>2232.6</c:v>
                </c:pt>
                <c:pt idx="3">
                  <c:v>807.59999999999991</c:v>
                </c:pt>
                <c:pt idx="4">
                  <c:v>2232.6</c:v>
                </c:pt>
                <c:pt idx="5">
                  <c:v>2232.6</c:v>
                </c:pt>
                <c:pt idx="6">
                  <c:v>2232.6</c:v>
                </c:pt>
                <c:pt idx="7">
                  <c:v>2232.6</c:v>
                </c:pt>
                <c:pt idx="8">
                  <c:v>2232.6</c:v>
                </c:pt>
                <c:pt idx="9">
                  <c:v>807.59999999999991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2E-427F-8185-AC32D7BBB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Income vs expenses by month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'Monthly P&amp;L'!$C$6</c:f>
              <c:strCache>
                <c:ptCount val="1"/>
                <c:pt idx="0">
                  <c:v>Income</c:v>
                </c:pt>
              </c:strCache>
            </c:strRef>
          </c:tx>
          <c:spPr>
            <a:solidFill>
              <a:srgbClr val="5B3A86"/>
            </a:solidFill>
            <a:ln>
              <a:solidFill>
                <a:srgbClr val="5B3A86"/>
              </a:solidFill>
              <a:prstDash val="solid"/>
            </a:ln>
          </c:spPr>
          <c:invertIfNegative val="1"/>
          <c:cat>
            <c:strRef>
              <c:f>'Monthly P&amp;L'!$B$7:$B$18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P&amp;L'!$C$7:$C$18</c:f>
              <c:numCache>
                <c:formatCode>\$#,##0.00;\(\$#,##0.00\);"-"</c:formatCode>
                <c:ptCount val="12"/>
                <c:pt idx="0">
                  <c:v>2845</c:v>
                </c:pt>
                <c:pt idx="1">
                  <c:v>2845</c:v>
                </c:pt>
                <c:pt idx="2">
                  <c:v>2845</c:v>
                </c:pt>
                <c:pt idx="3">
                  <c:v>2845</c:v>
                </c:pt>
                <c:pt idx="4">
                  <c:v>2845</c:v>
                </c:pt>
                <c:pt idx="5">
                  <c:v>2845</c:v>
                </c:pt>
                <c:pt idx="6">
                  <c:v>2845</c:v>
                </c:pt>
                <c:pt idx="7">
                  <c:v>2845</c:v>
                </c:pt>
                <c:pt idx="8">
                  <c:v>2845</c:v>
                </c:pt>
                <c:pt idx="9">
                  <c:v>2845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3A8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45-4423-AE73-69832CC07187}"/>
            </c:ext>
          </c:extLst>
        </c:ser>
        <c:ser>
          <c:idx val="1"/>
          <c:order val="1"/>
          <c:tx>
            <c:strRef>
              <c:f>'Monthly P&amp;L'!$D$6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C39BE3"/>
            </a:solidFill>
            <a:ln>
              <a:solidFill>
                <a:srgbClr val="C39BE3"/>
              </a:solidFill>
              <a:prstDash val="solid"/>
            </a:ln>
          </c:spPr>
          <c:invertIfNegative val="1"/>
          <c:cat>
            <c:strRef>
              <c:f>'Monthly P&amp;L'!$B$7:$B$18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P&amp;L'!$D$7:$D$18</c:f>
              <c:numCache>
                <c:formatCode>\$#,##0.00;\(\$#,##0.00\);"-"</c:formatCode>
                <c:ptCount val="12"/>
                <c:pt idx="0">
                  <c:v>827.4</c:v>
                </c:pt>
                <c:pt idx="1">
                  <c:v>1662.4</c:v>
                </c:pt>
                <c:pt idx="2">
                  <c:v>612.4</c:v>
                </c:pt>
                <c:pt idx="3">
                  <c:v>2037.4</c:v>
                </c:pt>
                <c:pt idx="4">
                  <c:v>612.4</c:v>
                </c:pt>
                <c:pt idx="5">
                  <c:v>612.4</c:v>
                </c:pt>
                <c:pt idx="6">
                  <c:v>612.4</c:v>
                </c:pt>
                <c:pt idx="7">
                  <c:v>612.4</c:v>
                </c:pt>
                <c:pt idx="8">
                  <c:v>612.4</c:v>
                </c:pt>
                <c:pt idx="9">
                  <c:v>2037.4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39BE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345-4423-AE73-69832CC07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11</xdr:row>
      <xdr:rowOff>0</xdr:rowOff>
    </xdr:from>
    <xdr:ext cx="46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27</xdr:row>
      <xdr:rowOff>0</xdr:rowOff>
    </xdr:from>
    <xdr:ext cx="576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10</xdr:col>
      <xdr:colOff>0</xdr:colOff>
      <xdr:row>27</xdr:row>
      <xdr:rowOff>0</xdr:rowOff>
    </xdr:from>
    <xdr:ext cx="46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5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B3A86"/>
  </sheetPr>
  <dimension ref="B2:B28"/>
  <sheetViews>
    <sheetView showGridLines="0" tabSelected="1" workbookViewId="0"/>
  </sheetViews>
  <sheetFormatPr defaultRowHeight="14.5" x14ac:dyDescent="0.35"/>
  <cols>
    <col min="1" max="1" width="3" customWidth="1"/>
    <col min="2" max="2" width="110" customWidth="1"/>
  </cols>
  <sheetData>
    <row r="2" spans="2:2" ht="23" x14ac:dyDescent="0.5">
      <c r="B2" s="1" t="s">
        <v>0</v>
      </c>
    </row>
    <row r="3" spans="2:2" x14ac:dyDescent="0.35">
      <c r="B3" s="2" t="s">
        <v>1</v>
      </c>
    </row>
    <row r="5" spans="2:2" x14ac:dyDescent="0.35">
      <c r="B5" s="3" t="s">
        <v>2</v>
      </c>
    </row>
    <row r="6" spans="2:2" x14ac:dyDescent="0.35">
      <c r="B6" s="4" t="s">
        <v>3</v>
      </c>
    </row>
    <row r="7" spans="2:2" ht="28" x14ac:dyDescent="0.35">
      <c r="B7" s="4" t="s">
        <v>4</v>
      </c>
    </row>
    <row r="8" spans="2:2" ht="28" x14ac:dyDescent="0.35">
      <c r="B8" s="4" t="s">
        <v>5</v>
      </c>
    </row>
    <row r="9" spans="2:2" ht="28" x14ac:dyDescent="0.35">
      <c r="B9" s="4" t="s">
        <v>6</v>
      </c>
    </row>
    <row r="10" spans="2:2" x14ac:dyDescent="0.35">
      <c r="B10" s="4" t="s">
        <v>7</v>
      </c>
    </row>
    <row r="11" spans="2:2" x14ac:dyDescent="0.35">
      <c r="B11" s="4" t="s">
        <v>8</v>
      </c>
    </row>
    <row r="12" spans="2:2" ht="28" x14ac:dyDescent="0.35">
      <c r="B12" s="4" t="s">
        <v>9</v>
      </c>
    </row>
    <row r="13" spans="2:2" ht="28" x14ac:dyDescent="0.35">
      <c r="B13" s="4" t="s">
        <v>10</v>
      </c>
    </row>
    <row r="14" spans="2:2" x14ac:dyDescent="0.35">
      <c r="B14" s="4"/>
    </row>
    <row r="15" spans="2:2" x14ac:dyDescent="0.35">
      <c r="B15" s="3" t="s">
        <v>11</v>
      </c>
    </row>
    <row r="16" spans="2:2" ht="28" x14ac:dyDescent="0.35">
      <c r="B16" s="4" t="s">
        <v>12</v>
      </c>
    </row>
    <row r="17" spans="2:2" x14ac:dyDescent="0.35">
      <c r="B17" s="4"/>
    </row>
    <row r="18" spans="2:2" x14ac:dyDescent="0.35">
      <c r="B18" s="3" t="s">
        <v>13</v>
      </c>
    </row>
    <row r="19" spans="2:2" x14ac:dyDescent="0.35">
      <c r="B19" s="4" t="s">
        <v>14</v>
      </c>
    </row>
    <row r="20" spans="2:2" x14ac:dyDescent="0.35">
      <c r="B20" s="4"/>
    </row>
    <row r="21" spans="2:2" x14ac:dyDescent="0.35">
      <c r="B21" s="3" t="s">
        <v>15</v>
      </c>
    </row>
    <row r="22" spans="2:2" ht="28" x14ac:dyDescent="0.35">
      <c r="B22" s="4" t="s">
        <v>16</v>
      </c>
    </row>
    <row r="23" spans="2:2" ht="28" x14ac:dyDescent="0.35">
      <c r="B23" s="4" t="s">
        <v>17</v>
      </c>
    </row>
    <row r="24" spans="2:2" x14ac:dyDescent="0.35">
      <c r="B24" s="4"/>
    </row>
    <row r="25" spans="2:2" x14ac:dyDescent="0.35">
      <c r="B25" s="3" t="s">
        <v>18</v>
      </c>
    </row>
    <row r="26" spans="2:2" ht="28" x14ac:dyDescent="0.35">
      <c r="B26" s="4" t="s">
        <v>19</v>
      </c>
    </row>
    <row r="27" spans="2:2" x14ac:dyDescent="0.35">
      <c r="B27" s="4"/>
    </row>
    <row r="28" spans="2:2" x14ac:dyDescent="0.35">
      <c r="B28" s="4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3A86"/>
  </sheetPr>
  <dimension ref="B1:Y72"/>
  <sheetViews>
    <sheetView showGridLines="0" workbookViewId="0"/>
  </sheetViews>
  <sheetFormatPr defaultRowHeight="14.5" x14ac:dyDescent="0.35"/>
  <cols>
    <col min="1" max="1" width="2" customWidth="1"/>
    <col min="2" max="17" width="13" customWidth="1"/>
    <col min="22" max="25" width="16" customWidth="1"/>
  </cols>
  <sheetData>
    <row r="1" spans="2:24" ht="23" x14ac:dyDescent="0.5">
      <c r="B1" s="1" t="s">
        <v>21</v>
      </c>
    </row>
    <row r="2" spans="2:24" x14ac:dyDescent="0.35">
      <c r="B2" s="2" t="str">
        <f>"Tax year "&amp;'Schedule E Summary'!C3&amp;"  |  updates automatically from your Transactions"&amp;IF(Transactions!I2&gt;0,"   |   "&amp;Transactions!I2&amp;" transaction row(s) need fixing - see red cells on Transactions","")</f>
        <v>Tax year 2026  |  updates automatically from your Transactions</v>
      </c>
    </row>
    <row r="3" spans="2:24" x14ac:dyDescent="0.35">
      <c r="V3" s="5" t="s">
        <v>22</v>
      </c>
    </row>
    <row r="4" spans="2:24" x14ac:dyDescent="0.35">
      <c r="B4" s="32" t="s">
        <v>23</v>
      </c>
      <c r="C4" s="31"/>
      <c r="D4" s="31"/>
      <c r="E4" s="31"/>
      <c r="G4" s="32" t="s">
        <v>24</v>
      </c>
      <c r="H4" s="31"/>
      <c r="I4" s="31"/>
      <c r="J4" s="31"/>
      <c r="L4" s="32" t="s">
        <v>25</v>
      </c>
      <c r="M4" s="31"/>
      <c r="N4" s="31"/>
      <c r="O4" s="31"/>
      <c r="V4" t="s">
        <v>26</v>
      </c>
      <c r="W4" t="s">
        <v>27</v>
      </c>
      <c r="X4" t="s">
        <v>28</v>
      </c>
    </row>
    <row r="5" spans="2:24" x14ac:dyDescent="0.35">
      <c r="B5" s="30">
        <f>'Schedule E Summary'!M24</f>
        <v>28450</v>
      </c>
      <c r="C5" s="31"/>
      <c r="D5" s="31"/>
      <c r="E5" s="31"/>
      <c r="G5" s="30">
        <f>'Schedule E Summary'!M25</f>
        <v>18420.818181818184</v>
      </c>
      <c r="H5" s="31"/>
      <c r="I5" s="31"/>
      <c r="J5" s="31"/>
      <c r="L5" s="30">
        <f>'Schedule E Summary'!M26</f>
        <v>10029.181818181816</v>
      </c>
      <c r="M5" s="31"/>
      <c r="N5" s="31"/>
      <c r="O5" s="31"/>
      <c r="V5" t="str">
        <f>IF(Properties!B5="","",Properties!B5)</f>
        <v>EXAMPLE: 412 Maple St (duplex)</v>
      </c>
      <c r="W5" s="6">
        <f>IF(Properties!B5="",0,'Schedule E Summary'!C26)</f>
        <v>10029.181818181816</v>
      </c>
      <c r="X5">
        <f>IF(V5="",-1000000000000,W5)+20/1000000</f>
        <v>10029.181838181816</v>
      </c>
    </row>
    <row r="6" spans="2:24" x14ac:dyDescent="0.35">
      <c r="B6" s="31"/>
      <c r="C6" s="31"/>
      <c r="D6" s="31"/>
      <c r="E6" s="31"/>
      <c r="G6" s="31"/>
      <c r="H6" s="31"/>
      <c r="I6" s="31"/>
      <c r="J6" s="31"/>
      <c r="L6" s="31"/>
      <c r="M6" s="31"/>
      <c r="N6" s="31"/>
      <c r="O6" s="31"/>
      <c r="V6" t="str">
        <f>IF(Properties!B6="","",Properties!B6)</f>
        <v/>
      </c>
      <c r="W6" s="6">
        <f>IF(Properties!B6="",0,'Schedule E Summary'!D26)</f>
        <v>0</v>
      </c>
      <c r="X6">
        <f>IF(V6="",-1000000000000,W6)+19/1000000</f>
        <v>-1000000000000</v>
      </c>
    </row>
    <row r="7" spans="2:24" x14ac:dyDescent="0.35">
      <c r="V7" t="str">
        <f>IF(Properties!B7="","",Properties!B7)</f>
        <v/>
      </c>
      <c r="W7" s="6">
        <f>IF(Properties!B7="",0,'Schedule E Summary'!E26)</f>
        <v>0</v>
      </c>
      <c r="X7">
        <f>IF(V7="",-1000000000000,W7)+18/1000000</f>
        <v>-1000000000000</v>
      </c>
    </row>
    <row r="8" spans="2:24" x14ac:dyDescent="0.35">
      <c r="B8" s="32" t="s">
        <v>29</v>
      </c>
      <c r="C8" s="31"/>
      <c r="D8" s="31"/>
      <c r="E8" s="31"/>
      <c r="G8" s="32" t="s">
        <v>30</v>
      </c>
      <c r="H8" s="31"/>
      <c r="I8" s="31"/>
      <c r="J8" s="31"/>
      <c r="L8" s="32" t="s">
        <v>31</v>
      </c>
      <c r="M8" s="31"/>
      <c r="N8" s="31"/>
      <c r="O8" s="31"/>
      <c r="V8" t="str">
        <f>IF(Properties!B8="","",Properties!B8)</f>
        <v/>
      </c>
      <c r="W8" s="6">
        <f>IF(Properties!B8="",0,'Schedule E Summary'!F26)</f>
        <v>0</v>
      </c>
      <c r="X8">
        <f>IF(V8="",-1000000000000,W8)+17/1000000</f>
        <v>-1000000000000</v>
      </c>
    </row>
    <row r="9" spans="2:24" x14ac:dyDescent="0.35">
      <c r="B9" s="30">
        <f>'Schedule E Summary'!M24-('Schedule E Summary'!M25-'Schedule E Summary'!M22)</f>
        <v>18211</v>
      </c>
      <c r="C9" s="31"/>
      <c r="D9" s="31"/>
      <c r="E9" s="31"/>
      <c r="G9" s="30">
        <f>'Rent Roll'!E66</f>
        <v>2845</v>
      </c>
      <c r="H9" s="31"/>
      <c r="I9" s="31"/>
      <c r="J9" s="31"/>
      <c r="L9" s="33">
        <f>COUNTA(Properties!B5:B14)</f>
        <v>1</v>
      </c>
      <c r="M9" s="31"/>
      <c r="N9" s="31"/>
      <c r="O9" s="31"/>
      <c r="V9" t="str">
        <f>IF(Properties!B9="","",Properties!B9)</f>
        <v/>
      </c>
      <c r="W9" s="6">
        <f>IF(Properties!B9="",0,'Schedule E Summary'!G26)</f>
        <v>0</v>
      </c>
      <c r="X9">
        <f>IF(V9="",-1000000000000,W9)+16/1000000</f>
        <v>-1000000000000</v>
      </c>
    </row>
    <row r="10" spans="2:24" x14ac:dyDescent="0.35">
      <c r="B10" s="31"/>
      <c r="C10" s="31"/>
      <c r="D10" s="31"/>
      <c r="E10" s="31"/>
      <c r="G10" s="31"/>
      <c r="H10" s="31"/>
      <c r="I10" s="31"/>
      <c r="J10" s="31"/>
      <c r="L10" s="31"/>
      <c r="M10" s="31"/>
      <c r="N10" s="31"/>
      <c r="O10" s="31"/>
      <c r="V10" t="str">
        <f>IF(Properties!B10="","",Properties!B10)</f>
        <v/>
      </c>
      <c r="W10" s="6">
        <f>IF(Properties!B10="",0,'Schedule E Summary'!H26)</f>
        <v>0</v>
      </c>
      <c r="X10">
        <f>IF(V10="",-1000000000000,W10)+15/1000000</f>
        <v>-1000000000000</v>
      </c>
    </row>
    <row r="11" spans="2:24" x14ac:dyDescent="0.35">
      <c r="V11" t="str">
        <f>IF(Properties!B11="","",Properties!B11)</f>
        <v/>
      </c>
      <c r="W11" s="6">
        <f>IF(Properties!B11="",0,'Schedule E Summary'!I26)</f>
        <v>0</v>
      </c>
      <c r="X11">
        <f>IF(V11="",-1000000000000,W11)+14/1000000</f>
        <v>-1000000000000</v>
      </c>
    </row>
    <row r="12" spans="2:24" x14ac:dyDescent="0.35">
      <c r="V12" t="str">
        <f>IF(Properties!B12="","",Properties!B12)</f>
        <v/>
      </c>
      <c r="W12" s="6">
        <f>IF(Properties!B12="",0,'Schedule E Summary'!J26)</f>
        <v>0</v>
      </c>
      <c r="X12">
        <f>IF(V12="",-1000000000000,W12)+13/1000000</f>
        <v>-1000000000000</v>
      </c>
    </row>
    <row r="13" spans="2:24" x14ac:dyDescent="0.35">
      <c r="V13" t="str">
        <f>IF(Properties!B13="","",Properties!B13)</f>
        <v/>
      </c>
      <c r="W13" s="6">
        <f>IF(Properties!B13="",0,'Schedule E Summary'!K26)</f>
        <v>0</v>
      </c>
      <c r="X13">
        <f>IF(V13="",-1000000000000,W13)+12/1000000</f>
        <v>-1000000000000</v>
      </c>
    </row>
    <row r="14" spans="2:24" x14ac:dyDescent="0.35">
      <c r="V14" t="str">
        <f>IF(Properties!B14="","",Properties!B14)</f>
        <v/>
      </c>
      <c r="W14" s="6">
        <f>IF(Properties!B14="",0,'Schedule E Summary'!L26)</f>
        <v>0</v>
      </c>
      <c r="X14">
        <f>IF(V14="",-1000000000000,W14)+11/1000000</f>
        <v>-1000000000000</v>
      </c>
    </row>
    <row r="17" spans="22:25" x14ac:dyDescent="0.35">
      <c r="V17" t="s">
        <v>32</v>
      </c>
      <c r="W17" t="s">
        <v>33</v>
      </c>
      <c r="X17" t="s">
        <v>34</v>
      </c>
      <c r="Y17" t="s">
        <v>35</v>
      </c>
    </row>
    <row r="18" spans="22:25" x14ac:dyDescent="0.35">
      <c r="V18" t="s">
        <v>36</v>
      </c>
      <c r="W18" s="6">
        <f>SUMPRODUCT(ISNUMBER(MATCH(Transactions!$B$5:$B$1004,Lists!$F$3:$F$12,0))*ISNUMBER(MATCH(Transactions!$C$5:$C$1004,Lists!$A$2:$A$3,0))*ISNUMBER(Transactions!$A$5:$A$1004)*(Transactions!$A$5:$A$1004&gt;=DATE('Schedule E Summary'!$C$3,1,1))*(Transactions!$A$5:$A$1004&lt;DATE('Schedule E Summary'!$C$3,2,1)),Transactions!$E$5:$E$1004)</f>
        <v>2845</v>
      </c>
      <c r="X18" s="6">
        <f>SUMPRODUCT(ISNUMBER(MATCH(Transactions!$B$5:$B$1004,Lists!$F$3:$F$12,0))*ISNUMBER(MATCH(Transactions!$C$5:$C$1004,Lists!$A$4:$A$17,0))*ISNUMBER(Transactions!$A$5:$A$1004)*(Transactions!$A$5:$A$1004&gt;=DATE('Schedule E Summary'!$C$3,1,1))*(Transactions!$A$5:$A$1004&lt;DATE('Schedule E Summary'!$C$3,2,1)),Transactions!$E$5:$E$1004)</f>
        <v>827.4</v>
      </c>
      <c r="Y18" s="6">
        <f t="shared" ref="Y18:Y29" si="0">W18-X18</f>
        <v>2017.6</v>
      </c>
    </row>
    <row r="19" spans="22:25" x14ac:dyDescent="0.35">
      <c r="V19" t="s">
        <v>37</v>
      </c>
      <c r="W19" s="6">
        <f>SUMPRODUCT(ISNUMBER(MATCH(Transactions!$B$5:$B$1004,Lists!$F$3:$F$12,0))*ISNUMBER(MATCH(Transactions!$C$5:$C$1004,Lists!$A$2:$A$3,0))*ISNUMBER(Transactions!$A$5:$A$1004)*(Transactions!$A$5:$A$1004&gt;=DATE('Schedule E Summary'!$C$3,2,1))*(Transactions!$A$5:$A$1004&lt;DATE('Schedule E Summary'!$C$3,3,1)),Transactions!$E$5:$E$1004)</f>
        <v>2845</v>
      </c>
      <c r="X19" s="6">
        <f>SUMPRODUCT(ISNUMBER(MATCH(Transactions!$B$5:$B$1004,Lists!$F$3:$F$12,0))*ISNUMBER(MATCH(Transactions!$C$5:$C$1004,Lists!$A$4:$A$17,0))*ISNUMBER(Transactions!$A$5:$A$1004)*(Transactions!$A$5:$A$1004&gt;=DATE('Schedule E Summary'!$C$3,2,1))*(Transactions!$A$5:$A$1004&lt;DATE('Schedule E Summary'!$C$3,3,1)),Transactions!$E$5:$E$1004)</f>
        <v>1662.4</v>
      </c>
      <c r="Y19" s="6">
        <f t="shared" si="0"/>
        <v>1182.5999999999999</v>
      </c>
    </row>
    <row r="20" spans="22:25" x14ac:dyDescent="0.35">
      <c r="V20" t="s">
        <v>38</v>
      </c>
      <c r="W20" s="6">
        <f>SUMPRODUCT(ISNUMBER(MATCH(Transactions!$B$5:$B$1004,Lists!$F$3:$F$12,0))*ISNUMBER(MATCH(Transactions!$C$5:$C$1004,Lists!$A$2:$A$3,0))*ISNUMBER(Transactions!$A$5:$A$1004)*(Transactions!$A$5:$A$1004&gt;=DATE('Schedule E Summary'!$C$3,3,1))*(Transactions!$A$5:$A$1004&lt;DATE('Schedule E Summary'!$C$3,4,1)),Transactions!$E$5:$E$1004)</f>
        <v>2845</v>
      </c>
      <c r="X20" s="6">
        <f>SUMPRODUCT(ISNUMBER(MATCH(Transactions!$B$5:$B$1004,Lists!$F$3:$F$12,0))*ISNUMBER(MATCH(Transactions!$C$5:$C$1004,Lists!$A$4:$A$17,0))*ISNUMBER(Transactions!$A$5:$A$1004)*(Transactions!$A$5:$A$1004&gt;=DATE('Schedule E Summary'!$C$3,3,1))*(Transactions!$A$5:$A$1004&lt;DATE('Schedule E Summary'!$C$3,4,1)),Transactions!$E$5:$E$1004)</f>
        <v>612.4</v>
      </c>
      <c r="Y20" s="6">
        <f t="shared" si="0"/>
        <v>2232.6</v>
      </c>
    </row>
    <row r="21" spans="22:25" x14ac:dyDescent="0.35">
      <c r="V21" t="s">
        <v>39</v>
      </c>
      <c r="W21" s="6">
        <f>SUMPRODUCT(ISNUMBER(MATCH(Transactions!$B$5:$B$1004,Lists!$F$3:$F$12,0))*ISNUMBER(MATCH(Transactions!$C$5:$C$1004,Lists!$A$2:$A$3,0))*ISNUMBER(Transactions!$A$5:$A$1004)*(Transactions!$A$5:$A$1004&gt;=DATE('Schedule E Summary'!$C$3,4,1))*(Transactions!$A$5:$A$1004&lt;DATE('Schedule E Summary'!$C$3,5,1)),Transactions!$E$5:$E$1004)</f>
        <v>2845</v>
      </c>
      <c r="X21" s="6">
        <f>SUMPRODUCT(ISNUMBER(MATCH(Transactions!$B$5:$B$1004,Lists!$F$3:$F$12,0))*ISNUMBER(MATCH(Transactions!$C$5:$C$1004,Lists!$A$4:$A$17,0))*ISNUMBER(Transactions!$A$5:$A$1004)*(Transactions!$A$5:$A$1004&gt;=DATE('Schedule E Summary'!$C$3,4,1))*(Transactions!$A$5:$A$1004&lt;DATE('Schedule E Summary'!$C$3,5,1)),Transactions!$E$5:$E$1004)</f>
        <v>2037.4</v>
      </c>
      <c r="Y21" s="6">
        <f t="shared" si="0"/>
        <v>807.59999999999991</v>
      </c>
    </row>
    <row r="22" spans="22:25" x14ac:dyDescent="0.35">
      <c r="V22" t="s">
        <v>40</v>
      </c>
      <c r="W22" s="6">
        <f>SUMPRODUCT(ISNUMBER(MATCH(Transactions!$B$5:$B$1004,Lists!$F$3:$F$12,0))*ISNUMBER(MATCH(Transactions!$C$5:$C$1004,Lists!$A$2:$A$3,0))*ISNUMBER(Transactions!$A$5:$A$1004)*(Transactions!$A$5:$A$1004&gt;=DATE('Schedule E Summary'!$C$3,5,1))*(Transactions!$A$5:$A$1004&lt;DATE('Schedule E Summary'!$C$3,6,1)),Transactions!$E$5:$E$1004)</f>
        <v>2845</v>
      </c>
      <c r="X22" s="6">
        <f>SUMPRODUCT(ISNUMBER(MATCH(Transactions!$B$5:$B$1004,Lists!$F$3:$F$12,0))*ISNUMBER(MATCH(Transactions!$C$5:$C$1004,Lists!$A$4:$A$17,0))*ISNUMBER(Transactions!$A$5:$A$1004)*(Transactions!$A$5:$A$1004&gt;=DATE('Schedule E Summary'!$C$3,5,1))*(Transactions!$A$5:$A$1004&lt;DATE('Schedule E Summary'!$C$3,6,1)),Transactions!$E$5:$E$1004)</f>
        <v>612.4</v>
      </c>
      <c r="Y22" s="6">
        <f t="shared" si="0"/>
        <v>2232.6</v>
      </c>
    </row>
    <row r="23" spans="22:25" x14ac:dyDescent="0.35">
      <c r="V23" t="s">
        <v>41</v>
      </c>
      <c r="W23" s="6">
        <f>SUMPRODUCT(ISNUMBER(MATCH(Transactions!$B$5:$B$1004,Lists!$F$3:$F$12,0))*ISNUMBER(MATCH(Transactions!$C$5:$C$1004,Lists!$A$2:$A$3,0))*ISNUMBER(Transactions!$A$5:$A$1004)*(Transactions!$A$5:$A$1004&gt;=DATE('Schedule E Summary'!$C$3,6,1))*(Transactions!$A$5:$A$1004&lt;DATE('Schedule E Summary'!$C$3,7,1)),Transactions!$E$5:$E$1004)</f>
        <v>2845</v>
      </c>
      <c r="X23" s="6">
        <f>SUMPRODUCT(ISNUMBER(MATCH(Transactions!$B$5:$B$1004,Lists!$F$3:$F$12,0))*ISNUMBER(MATCH(Transactions!$C$5:$C$1004,Lists!$A$4:$A$17,0))*ISNUMBER(Transactions!$A$5:$A$1004)*(Transactions!$A$5:$A$1004&gt;=DATE('Schedule E Summary'!$C$3,6,1))*(Transactions!$A$5:$A$1004&lt;DATE('Schedule E Summary'!$C$3,7,1)),Transactions!$E$5:$E$1004)</f>
        <v>612.4</v>
      </c>
      <c r="Y23" s="6">
        <f t="shared" si="0"/>
        <v>2232.6</v>
      </c>
    </row>
    <row r="24" spans="22:25" x14ac:dyDescent="0.35">
      <c r="V24" t="s">
        <v>42</v>
      </c>
      <c r="W24" s="6">
        <f>SUMPRODUCT(ISNUMBER(MATCH(Transactions!$B$5:$B$1004,Lists!$F$3:$F$12,0))*ISNUMBER(MATCH(Transactions!$C$5:$C$1004,Lists!$A$2:$A$3,0))*ISNUMBER(Transactions!$A$5:$A$1004)*(Transactions!$A$5:$A$1004&gt;=DATE('Schedule E Summary'!$C$3,7,1))*(Transactions!$A$5:$A$1004&lt;DATE('Schedule E Summary'!$C$3,8,1)),Transactions!$E$5:$E$1004)</f>
        <v>2845</v>
      </c>
      <c r="X24" s="6">
        <f>SUMPRODUCT(ISNUMBER(MATCH(Transactions!$B$5:$B$1004,Lists!$F$3:$F$12,0))*ISNUMBER(MATCH(Transactions!$C$5:$C$1004,Lists!$A$4:$A$17,0))*ISNUMBER(Transactions!$A$5:$A$1004)*(Transactions!$A$5:$A$1004&gt;=DATE('Schedule E Summary'!$C$3,7,1))*(Transactions!$A$5:$A$1004&lt;DATE('Schedule E Summary'!$C$3,8,1)),Transactions!$E$5:$E$1004)</f>
        <v>612.4</v>
      </c>
      <c r="Y24" s="6">
        <f t="shared" si="0"/>
        <v>2232.6</v>
      </c>
    </row>
    <row r="25" spans="22:25" x14ac:dyDescent="0.35">
      <c r="V25" t="s">
        <v>43</v>
      </c>
      <c r="W25" s="6">
        <f>SUMPRODUCT(ISNUMBER(MATCH(Transactions!$B$5:$B$1004,Lists!$F$3:$F$12,0))*ISNUMBER(MATCH(Transactions!$C$5:$C$1004,Lists!$A$2:$A$3,0))*ISNUMBER(Transactions!$A$5:$A$1004)*(Transactions!$A$5:$A$1004&gt;=DATE('Schedule E Summary'!$C$3,8,1))*(Transactions!$A$5:$A$1004&lt;DATE('Schedule E Summary'!$C$3,9,1)),Transactions!$E$5:$E$1004)</f>
        <v>2845</v>
      </c>
      <c r="X25" s="6">
        <f>SUMPRODUCT(ISNUMBER(MATCH(Transactions!$B$5:$B$1004,Lists!$F$3:$F$12,0))*ISNUMBER(MATCH(Transactions!$C$5:$C$1004,Lists!$A$4:$A$17,0))*ISNUMBER(Transactions!$A$5:$A$1004)*(Transactions!$A$5:$A$1004&gt;=DATE('Schedule E Summary'!$C$3,8,1))*(Transactions!$A$5:$A$1004&lt;DATE('Schedule E Summary'!$C$3,9,1)),Transactions!$E$5:$E$1004)</f>
        <v>612.4</v>
      </c>
      <c r="Y25" s="6">
        <f t="shared" si="0"/>
        <v>2232.6</v>
      </c>
    </row>
    <row r="26" spans="22:25" x14ac:dyDescent="0.35">
      <c r="V26" t="s">
        <v>44</v>
      </c>
      <c r="W26" s="6">
        <f>SUMPRODUCT(ISNUMBER(MATCH(Transactions!$B$5:$B$1004,Lists!$F$3:$F$12,0))*ISNUMBER(MATCH(Transactions!$C$5:$C$1004,Lists!$A$2:$A$3,0))*ISNUMBER(Transactions!$A$5:$A$1004)*(Transactions!$A$5:$A$1004&gt;=DATE('Schedule E Summary'!$C$3,9,1))*(Transactions!$A$5:$A$1004&lt;DATE('Schedule E Summary'!$C$3,10,1)),Transactions!$E$5:$E$1004)</f>
        <v>2845</v>
      </c>
      <c r="X26" s="6">
        <f>SUMPRODUCT(ISNUMBER(MATCH(Transactions!$B$5:$B$1004,Lists!$F$3:$F$12,0))*ISNUMBER(MATCH(Transactions!$C$5:$C$1004,Lists!$A$4:$A$17,0))*ISNUMBER(Transactions!$A$5:$A$1004)*(Transactions!$A$5:$A$1004&gt;=DATE('Schedule E Summary'!$C$3,9,1))*(Transactions!$A$5:$A$1004&lt;DATE('Schedule E Summary'!$C$3,10,1)),Transactions!$E$5:$E$1004)</f>
        <v>612.4</v>
      </c>
      <c r="Y26" s="6">
        <f t="shared" si="0"/>
        <v>2232.6</v>
      </c>
    </row>
    <row r="27" spans="22:25" x14ac:dyDescent="0.35">
      <c r="V27" t="s">
        <v>45</v>
      </c>
      <c r="W27" s="6">
        <f>SUMPRODUCT(ISNUMBER(MATCH(Transactions!$B$5:$B$1004,Lists!$F$3:$F$12,0))*ISNUMBER(MATCH(Transactions!$C$5:$C$1004,Lists!$A$2:$A$3,0))*ISNUMBER(Transactions!$A$5:$A$1004)*(Transactions!$A$5:$A$1004&gt;=DATE('Schedule E Summary'!$C$3,10,1))*(Transactions!$A$5:$A$1004&lt;DATE('Schedule E Summary'!$C$3,11,1)),Transactions!$E$5:$E$1004)</f>
        <v>2845</v>
      </c>
      <c r="X27" s="6">
        <f>SUMPRODUCT(ISNUMBER(MATCH(Transactions!$B$5:$B$1004,Lists!$F$3:$F$12,0))*ISNUMBER(MATCH(Transactions!$C$5:$C$1004,Lists!$A$4:$A$17,0))*ISNUMBER(Transactions!$A$5:$A$1004)*(Transactions!$A$5:$A$1004&gt;=DATE('Schedule E Summary'!$C$3,10,1))*(Transactions!$A$5:$A$1004&lt;DATE('Schedule E Summary'!$C$3,11,1)),Transactions!$E$5:$E$1004)</f>
        <v>2037.4</v>
      </c>
      <c r="Y27" s="6">
        <f t="shared" si="0"/>
        <v>807.59999999999991</v>
      </c>
    </row>
    <row r="28" spans="22:25" x14ac:dyDescent="0.35">
      <c r="V28" t="s">
        <v>46</v>
      </c>
      <c r="W28" s="6">
        <f>SUMPRODUCT(ISNUMBER(MATCH(Transactions!$B$5:$B$1004,Lists!$F$3:$F$12,0))*ISNUMBER(MATCH(Transactions!$C$5:$C$1004,Lists!$A$2:$A$3,0))*ISNUMBER(Transactions!$A$5:$A$1004)*(Transactions!$A$5:$A$1004&gt;=DATE('Schedule E Summary'!$C$3,11,1))*(Transactions!$A$5:$A$1004&lt;DATE('Schedule E Summary'!$C$3,12,1)),Transactions!$E$5:$E$1004)</f>
        <v>0</v>
      </c>
      <c r="X28" s="6">
        <f>SUMPRODUCT(ISNUMBER(MATCH(Transactions!$B$5:$B$1004,Lists!$F$3:$F$12,0))*ISNUMBER(MATCH(Transactions!$C$5:$C$1004,Lists!$A$4:$A$17,0))*ISNUMBER(Transactions!$A$5:$A$1004)*(Transactions!$A$5:$A$1004&gt;=DATE('Schedule E Summary'!$C$3,11,1))*(Transactions!$A$5:$A$1004&lt;DATE('Schedule E Summary'!$C$3,12,1)),Transactions!$E$5:$E$1004)</f>
        <v>0</v>
      </c>
      <c r="Y28" s="6">
        <f t="shared" si="0"/>
        <v>0</v>
      </c>
    </row>
    <row r="29" spans="22:25" x14ac:dyDescent="0.35">
      <c r="V29" t="s">
        <v>47</v>
      </c>
      <c r="W29" s="6">
        <f>SUMPRODUCT(ISNUMBER(MATCH(Transactions!$B$5:$B$1004,Lists!$F$3:$F$12,0))*ISNUMBER(MATCH(Transactions!$C$5:$C$1004,Lists!$A$2:$A$3,0))*ISNUMBER(Transactions!$A$5:$A$1004)*(Transactions!$A$5:$A$1004&gt;=DATE('Schedule E Summary'!$C$3,12,1))*(Transactions!$A$5:$A$1004&lt;DATE('Schedule E Summary'!$C$3,13,1)),Transactions!$E$5:$E$1004)</f>
        <v>0</v>
      </c>
      <c r="X29" s="6">
        <f>SUMPRODUCT(ISNUMBER(MATCH(Transactions!$B$5:$B$1004,Lists!$F$3:$F$12,0))*ISNUMBER(MATCH(Transactions!$C$5:$C$1004,Lists!$A$4:$A$17,0))*ISNUMBER(Transactions!$A$5:$A$1004)*(Transactions!$A$5:$A$1004&gt;=DATE('Schedule E Summary'!$C$3,12,1))*(Transactions!$A$5:$A$1004&lt;DATE('Schedule E Summary'!$C$3,13,1)),Transactions!$E$5:$E$1004)</f>
        <v>0</v>
      </c>
      <c r="Y29" s="6">
        <f t="shared" si="0"/>
        <v>0</v>
      </c>
    </row>
    <row r="33" spans="22:24" x14ac:dyDescent="0.35">
      <c r="V33" t="s">
        <v>48</v>
      </c>
      <c r="W33" t="s">
        <v>49</v>
      </c>
      <c r="X33" t="s">
        <v>28</v>
      </c>
    </row>
    <row r="34" spans="22:24" x14ac:dyDescent="0.35">
      <c r="V34" t="str">
        <f>'Schedule E Summary'!B8</f>
        <v>Advertising</v>
      </c>
      <c r="W34" s="6">
        <f>'Schedule E Summary'!M8</f>
        <v>0</v>
      </c>
      <c r="X34">
        <f>W34+100/1000000</f>
        <v>1E-4</v>
      </c>
    </row>
    <row r="35" spans="22:24" x14ac:dyDescent="0.35">
      <c r="V35" t="str">
        <f>'Schedule E Summary'!B9</f>
        <v>Auto and travel</v>
      </c>
      <c r="W35" s="6">
        <f>'Schedule E Summary'!M9</f>
        <v>0</v>
      </c>
      <c r="X35">
        <f>W35+99/1000000</f>
        <v>9.8999999999999994E-5</v>
      </c>
    </row>
    <row r="36" spans="22:24" x14ac:dyDescent="0.35">
      <c r="V36" t="str">
        <f>'Schedule E Summary'!B10</f>
        <v>Cleaning and maintenance</v>
      </c>
      <c r="W36" s="6">
        <f>'Schedule E Summary'!M10</f>
        <v>0</v>
      </c>
      <c r="X36">
        <f>W36+98/1000000</f>
        <v>9.7999999999999997E-5</v>
      </c>
    </row>
    <row r="37" spans="22:24" x14ac:dyDescent="0.35">
      <c r="V37" t="str">
        <f>'Schedule E Summary'!B11</f>
        <v>Commissions</v>
      </c>
      <c r="W37" s="6">
        <f>'Schedule E Summary'!M11</f>
        <v>0</v>
      </c>
      <c r="X37">
        <f>W37+97/1000000</f>
        <v>9.7E-5</v>
      </c>
    </row>
    <row r="38" spans="22:24" x14ac:dyDescent="0.35">
      <c r="V38" t="str">
        <f>'Schedule E Summary'!B12</f>
        <v>Insurance</v>
      </c>
      <c r="W38" s="6">
        <f>'Schedule E Summary'!M12</f>
        <v>1050</v>
      </c>
      <c r="X38">
        <f>W38+96/1000000</f>
        <v>1050.000096</v>
      </c>
    </row>
    <row r="39" spans="22:24" x14ac:dyDescent="0.35">
      <c r="V39" t="str">
        <f>'Schedule E Summary'!B13</f>
        <v>Legal and other professional fees</v>
      </c>
      <c r="W39" s="6">
        <f>'Schedule E Summary'!M13</f>
        <v>0</v>
      </c>
      <c r="X39">
        <f>W39+95/1000000</f>
        <v>9.5000000000000005E-5</v>
      </c>
    </row>
    <row r="40" spans="22:24" x14ac:dyDescent="0.35">
      <c r="V40" t="str">
        <f>'Schedule E Summary'!B14</f>
        <v>Management fees</v>
      </c>
      <c r="W40" s="6">
        <f>'Schedule E Summary'!M14</f>
        <v>0</v>
      </c>
      <c r="X40">
        <f>W40+94/1000000</f>
        <v>9.3999999999999994E-5</v>
      </c>
    </row>
    <row r="41" spans="22:24" x14ac:dyDescent="0.35">
      <c r="V41" t="str">
        <f>'Schedule E Summary'!B15</f>
        <v>Mortgage interest paid to banks</v>
      </c>
      <c r="W41" s="6">
        <f>'Schedule E Summary'!M15</f>
        <v>6123.9999999999991</v>
      </c>
      <c r="X41">
        <f>W41+93/1000000</f>
        <v>6124.0000929999987</v>
      </c>
    </row>
    <row r="42" spans="22:24" x14ac:dyDescent="0.35">
      <c r="V42" t="str">
        <f>'Schedule E Summary'!B16</f>
        <v>Other interest</v>
      </c>
      <c r="W42" s="6">
        <f>'Schedule E Summary'!M16</f>
        <v>0</v>
      </c>
      <c r="X42">
        <f>W42+92/1000000</f>
        <v>9.2E-5</v>
      </c>
    </row>
    <row r="43" spans="22:24" x14ac:dyDescent="0.35">
      <c r="V43" t="str">
        <f>'Schedule E Summary'!B17</f>
        <v>Repairs</v>
      </c>
      <c r="W43" s="6">
        <f>'Schedule E Summary'!M17</f>
        <v>215</v>
      </c>
      <c r="X43">
        <f>W43+91/1000000</f>
        <v>215.000091</v>
      </c>
    </row>
    <row r="44" spans="22:24" x14ac:dyDescent="0.35">
      <c r="V44" t="str">
        <f>'Schedule E Summary'!B18</f>
        <v>Supplies</v>
      </c>
      <c r="W44" s="6">
        <f>'Schedule E Summary'!M18</f>
        <v>0</v>
      </c>
      <c r="X44">
        <f>W44+90/1000000</f>
        <v>9.0000000000000006E-5</v>
      </c>
    </row>
    <row r="45" spans="22:24" x14ac:dyDescent="0.35">
      <c r="V45" t="str">
        <f>'Schedule E Summary'!B19</f>
        <v>Taxes</v>
      </c>
      <c r="W45" s="6">
        <f>'Schedule E Summary'!M19</f>
        <v>2850</v>
      </c>
      <c r="X45">
        <f>W45+89/1000000</f>
        <v>2850.0000890000001</v>
      </c>
    </row>
    <row r="46" spans="22:24" x14ac:dyDescent="0.35">
      <c r="V46" t="str">
        <f>'Schedule E Summary'!B20</f>
        <v>Utilities</v>
      </c>
      <c r="W46" s="6">
        <f>'Schedule E Summary'!M20</f>
        <v>0</v>
      </c>
      <c r="X46">
        <f>W46+88/1000000</f>
        <v>8.7999999999999998E-5</v>
      </c>
    </row>
    <row r="47" spans="22:24" x14ac:dyDescent="0.35">
      <c r="V47" t="str">
        <f>'Schedule E Summary'!B21</f>
        <v>Other</v>
      </c>
      <c r="W47" s="6">
        <f>'Schedule E Summary'!M21</f>
        <v>0</v>
      </c>
      <c r="X47">
        <f>W47+87/1000000</f>
        <v>8.7000000000000001E-5</v>
      </c>
    </row>
    <row r="48" spans="22:24" x14ac:dyDescent="0.35">
      <c r="V48" t="str">
        <f>'Schedule E Summary'!B22</f>
        <v>Depreciation (estimated)</v>
      </c>
      <c r="W48" s="6">
        <f>'Schedule E Summary'!M22</f>
        <v>8181.818181818182</v>
      </c>
      <c r="X48">
        <f>W48+86/1000000</f>
        <v>8181.818267818182</v>
      </c>
    </row>
    <row r="52" spans="22:23" x14ac:dyDescent="0.35">
      <c r="V52" t="s">
        <v>50</v>
      </c>
      <c r="W52" t="s">
        <v>49</v>
      </c>
    </row>
    <row r="53" spans="22:23" x14ac:dyDescent="0.35">
      <c r="V53" t="str">
        <f>IF(LARGE($X$34:$X$48,1)&lt;0.01,"",INDEX($V$34:$V$48,MATCH(LARGE($X$34:$X$48,1),$X$34:$X$48,0)))</f>
        <v>Depreciation (estimated)</v>
      </c>
      <c r="W53" s="6">
        <f>IF(LARGE($X$34:$X$48,1)&lt;0.01,0,ROUND(LARGE($X$34:$X$48,1),2))</f>
        <v>8181.82</v>
      </c>
    </row>
    <row r="54" spans="22:23" x14ac:dyDescent="0.35">
      <c r="V54" t="str">
        <f>IF(LARGE($X$34:$X$48,2)&lt;0.01,"",INDEX($V$34:$V$48,MATCH(LARGE($X$34:$X$48,2),$X$34:$X$48,0)))</f>
        <v>Mortgage interest paid to banks</v>
      </c>
      <c r="W54" s="6">
        <f>IF(LARGE($X$34:$X$48,2)&lt;0.01,0,ROUND(LARGE($X$34:$X$48,2),2))</f>
        <v>6124</v>
      </c>
    </row>
    <row r="55" spans="22:23" x14ac:dyDescent="0.35">
      <c r="V55" t="str">
        <f>IF(LARGE($X$34:$X$48,3)&lt;0.01,"",INDEX($V$34:$V$48,MATCH(LARGE($X$34:$X$48,3),$X$34:$X$48,0)))</f>
        <v>Taxes</v>
      </c>
      <c r="W55" s="6">
        <f>IF(LARGE($X$34:$X$48,3)&lt;0.01,0,ROUND(LARGE($X$34:$X$48,3),2))</f>
        <v>2850</v>
      </c>
    </row>
    <row r="56" spans="22:23" x14ac:dyDescent="0.35">
      <c r="V56" t="str">
        <f>IF(LARGE($X$34:$X$48,4)&lt;0.01,"",INDEX($V$34:$V$48,MATCH(LARGE($X$34:$X$48,4),$X$34:$X$48,0)))</f>
        <v>Insurance</v>
      </c>
      <c r="W56" s="6">
        <f>IF(LARGE($X$34:$X$48,4)&lt;0.01,0,ROUND(LARGE($X$34:$X$48,4),2))</f>
        <v>1050</v>
      </c>
    </row>
    <row r="57" spans="22:23" x14ac:dyDescent="0.35">
      <c r="V57" t="str">
        <f>IF(LARGE($X$34:$X$48,5)&lt;0.01,"",INDEX($V$34:$V$48,MATCH(LARGE($X$34:$X$48,5),$X$34:$X$48,0)))</f>
        <v>Repairs</v>
      </c>
      <c r="W57" s="6">
        <f>IF(LARGE($X$34:$X$48,5)&lt;0.01,0,ROUND(LARGE($X$34:$X$48,5),2))</f>
        <v>215</v>
      </c>
    </row>
    <row r="58" spans="22:23" x14ac:dyDescent="0.35">
      <c r="V58" t="str">
        <f>IF(LARGE($X$34:$X$48,6)&lt;0.01,"",INDEX($V$34:$V$48,MATCH(LARGE($X$34:$X$48,6),$X$34:$X$48,0)))</f>
        <v/>
      </c>
      <c r="W58" s="6">
        <f>IF(LARGE($X$34:$X$48,6)&lt;0.01,0,ROUND(LARGE($X$34:$X$48,6),2))</f>
        <v>0</v>
      </c>
    </row>
    <row r="59" spans="22:23" x14ac:dyDescent="0.35">
      <c r="V59" t="str">
        <f>IF(LARGE($X$34:$X$48,7)&lt;0.01,"",INDEX($V$34:$V$48,MATCH(LARGE($X$34:$X$48,7),$X$34:$X$48,0)))</f>
        <v/>
      </c>
      <c r="W59" s="6">
        <f>IF(LARGE($X$34:$X$48,7)&lt;0.01,0,ROUND(LARGE($X$34:$X$48,7),2))</f>
        <v>0</v>
      </c>
    </row>
    <row r="60" spans="22:23" x14ac:dyDescent="0.35">
      <c r="V60" t="str">
        <f>IF(LARGE($X$34:$X$48,8)&lt;0.01,"",INDEX($V$34:$V$48,MATCH(LARGE($X$34:$X$48,8),$X$34:$X$48,0)))</f>
        <v/>
      </c>
      <c r="W60" s="6">
        <f>IF(LARGE($X$34:$X$48,8)&lt;0.01,0,ROUND(LARGE($X$34:$X$48,8),2))</f>
        <v>0</v>
      </c>
    </row>
    <row r="62" spans="22:23" x14ac:dyDescent="0.35">
      <c r="V62" t="s">
        <v>51</v>
      </c>
      <c r="W62" t="s">
        <v>27</v>
      </c>
    </row>
    <row r="63" spans="22:23" x14ac:dyDescent="0.35">
      <c r="V63" t="str">
        <f>IF(LARGE($X$5:$X$14,1)&lt;-100000000000,"",INDEX($V$5:$V$14,MATCH(LARGE($X$5:$X$14,1),$X$5:$X$14,0)))</f>
        <v>EXAMPLE: 412 Maple St (duplex)</v>
      </c>
      <c r="W63" s="6">
        <f>IF(LARGE($X$5:$X$14,1)&lt;-100000000000,0,ROUND(LARGE($X$5:$X$14,1),2))</f>
        <v>10029.18</v>
      </c>
    </row>
    <row r="64" spans="22:23" x14ac:dyDescent="0.35">
      <c r="V64" t="str">
        <f>IF(LARGE($X$5:$X$14,2)&lt;-100000000000,"",INDEX($V$5:$V$14,MATCH(LARGE($X$5:$X$14,2),$X$5:$X$14,0)))</f>
        <v/>
      </c>
      <c r="W64" s="6">
        <f>IF(LARGE($X$5:$X$14,2)&lt;-100000000000,0,ROUND(LARGE($X$5:$X$14,2),2))</f>
        <v>0</v>
      </c>
    </row>
    <row r="65" spans="22:23" x14ac:dyDescent="0.35">
      <c r="V65" t="str">
        <f>IF(LARGE($X$5:$X$14,3)&lt;-100000000000,"",INDEX($V$5:$V$14,MATCH(LARGE($X$5:$X$14,3),$X$5:$X$14,0)))</f>
        <v/>
      </c>
      <c r="W65" s="6">
        <f>IF(LARGE($X$5:$X$14,3)&lt;-100000000000,0,ROUND(LARGE($X$5:$X$14,3),2))</f>
        <v>0</v>
      </c>
    </row>
    <row r="66" spans="22:23" x14ac:dyDescent="0.35">
      <c r="V66" t="str">
        <f>IF(LARGE($X$5:$X$14,4)&lt;-100000000000,"",INDEX($V$5:$V$14,MATCH(LARGE($X$5:$X$14,4),$X$5:$X$14,0)))</f>
        <v/>
      </c>
      <c r="W66" s="6">
        <f>IF(LARGE($X$5:$X$14,4)&lt;-100000000000,0,ROUND(LARGE($X$5:$X$14,4),2))</f>
        <v>0</v>
      </c>
    </row>
    <row r="67" spans="22:23" x14ac:dyDescent="0.35">
      <c r="V67" t="str">
        <f>IF(LARGE($X$5:$X$14,5)&lt;-100000000000,"",INDEX($V$5:$V$14,MATCH(LARGE($X$5:$X$14,5),$X$5:$X$14,0)))</f>
        <v/>
      </c>
      <c r="W67" s="6">
        <f>IF(LARGE($X$5:$X$14,5)&lt;-100000000000,0,ROUND(LARGE($X$5:$X$14,5),2))</f>
        <v>0</v>
      </c>
    </row>
    <row r="68" spans="22:23" x14ac:dyDescent="0.35">
      <c r="V68" t="str">
        <f>IF(LARGE($X$5:$X$14,6)&lt;-100000000000,"",INDEX($V$5:$V$14,MATCH(LARGE($X$5:$X$14,6),$X$5:$X$14,0)))</f>
        <v/>
      </c>
      <c r="W68" s="6">
        <f>IF(LARGE($X$5:$X$14,6)&lt;-100000000000,0,ROUND(LARGE($X$5:$X$14,6),2))</f>
        <v>0</v>
      </c>
    </row>
    <row r="69" spans="22:23" x14ac:dyDescent="0.35">
      <c r="V69" t="str">
        <f>IF(LARGE($X$5:$X$14,7)&lt;-100000000000,"",INDEX($V$5:$V$14,MATCH(LARGE($X$5:$X$14,7),$X$5:$X$14,0)))</f>
        <v/>
      </c>
      <c r="W69" s="6">
        <f>IF(LARGE($X$5:$X$14,7)&lt;-100000000000,0,ROUND(LARGE($X$5:$X$14,7),2))</f>
        <v>0</v>
      </c>
    </row>
    <row r="70" spans="22:23" x14ac:dyDescent="0.35">
      <c r="V70" t="str">
        <f>IF(LARGE($X$5:$X$14,8)&lt;-100000000000,"",INDEX($V$5:$V$14,MATCH(LARGE($X$5:$X$14,8),$X$5:$X$14,0)))</f>
        <v/>
      </c>
      <c r="W70" s="6">
        <f>IF(LARGE($X$5:$X$14,8)&lt;-100000000000,0,ROUND(LARGE($X$5:$X$14,8),2))</f>
        <v>0</v>
      </c>
    </row>
    <row r="71" spans="22:23" x14ac:dyDescent="0.35">
      <c r="V71" t="str">
        <f>IF(LARGE($X$5:$X$14,9)&lt;-100000000000,"",INDEX($V$5:$V$14,MATCH(LARGE($X$5:$X$14,9),$X$5:$X$14,0)))</f>
        <v/>
      </c>
      <c r="W71" s="6">
        <f>IF(LARGE($X$5:$X$14,9)&lt;-100000000000,0,ROUND(LARGE($X$5:$X$14,9),2))</f>
        <v>0</v>
      </c>
    </row>
    <row r="72" spans="22:23" x14ac:dyDescent="0.35">
      <c r="V72" t="str">
        <f>IF(LARGE($X$5:$X$14,10)&lt;-100000000000,"",INDEX($V$5:$V$14,MATCH(LARGE($X$5:$X$14,10),$X$5:$X$14,0)))</f>
        <v/>
      </c>
      <c r="W72" s="6">
        <f>IF(LARGE($X$5:$X$14,10)&lt;-100000000000,0,ROUND(LARGE($X$5:$X$14,10),2))</f>
        <v>0</v>
      </c>
    </row>
  </sheetData>
  <mergeCells count="12">
    <mergeCell ref="L5:O6"/>
    <mergeCell ref="L8:O8"/>
    <mergeCell ref="B8:E8"/>
    <mergeCell ref="B9:E10"/>
    <mergeCell ref="B4:E4"/>
    <mergeCell ref="G9:J10"/>
    <mergeCell ref="G8:J8"/>
    <mergeCell ref="G4:J4"/>
    <mergeCell ref="L9:O10"/>
    <mergeCell ref="L4:O4"/>
    <mergeCell ref="B5:E6"/>
    <mergeCell ref="G5:J6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B3A86"/>
  </sheetPr>
  <dimension ref="A1:I16"/>
  <sheetViews>
    <sheetView showGridLines="0" workbookViewId="0"/>
  </sheetViews>
  <sheetFormatPr defaultRowHeight="14.5" x14ac:dyDescent="0.35"/>
  <cols>
    <col min="1" max="1" width="5" customWidth="1"/>
    <col min="2" max="2" width="34" customWidth="1"/>
    <col min="3" max="3" width="8" customWidth="1"/>
    <col min="4" max="4" width="14" customWidth="1"/>
    <col min="5" max="5" width="15" customWidth="1"/>
    <col min="6" max="6" width="14" customWidth="1"/>
    <col min="7" max="7" width="15" customWidth="1"/>
    <col min="8" max="9" width="18" customWidth="1"/>
  </cols>
  <sheetData>
    <row r="1" spans="1:9" ht="23" x14ac:dyDescent="0.5">
      <c r="A1" s="1" t="s">
        <v>52</v>
      </c>
    </row>
    <row r="2" spans="1:9" x14ac:dyDescent="0.35">
      <c r="A2" s="2" t="s">
        <v>53</v>
      </c>
    </row>
    <row r="4" spans="1:9" ht="30" customHeight="1" x14ac:dyDescent="0.35">
      <c r="A4" s="7" t="s">
        <v>54</v>
      </c>
      <c r="B4" s="7" t="s">
        <v>55</v>
      </c>
      <c r="C4" s="7" t="s">
        <v>56</v>
      </c>
      <c r="D4" s="7" t="s">
        <v>57</v>
      </c>
      <c r="E4" s="7" t="s">
        <v>58</v>
      </c>
      <c r="F4" s="7" t="s">
        <v>59</v>
      </c>
      <c r="G4" s="7" t="s">
        <v>60</v>
      </c>
      <c r="H4" s="7" t="s">
        <v>61</v>
      </c>
      <c r="I4" s="7" t="s">
        <v>62</v>
      </c>
    </row>
    <row r="5" spans="1:9" x14ac:dyDescent="0.35">
      <c r="A5" s="8">
        <v>1</v>
      </c>
      <c r="B5" s="9" t="s">
        <v>63</v>
      </c>
      <c r="C5" s="9">
        <v>2</v>
      </c>
      <c r="D5" s="10">
        <v>44362</v>
      </c>
      <c r="E5" s="11">
        <v>285000</v>
      </c>
      <c r="F5" s="11">
        <v>60000</v>
      </c>
      <c r="G5" s="12">
        <f t="shared" ref="G5:G14" si="0">IF(E5="","",IFERROR(MAX(E5-N(F5),0),0))</f>
        <v>225000</v>
      </c>
      <c r="H5" s="12">
        <f t="shared" ref="H5:H14" si="1">IF(G5="","",G5/27.5)</f>
        <v>8181.818181818182</v>
      </c>
      <c r="I5" s="12">
        <f>IFERROR(IF(OR(H5="",D5=""),0,IF(YEAR(D5)&gt;'Schedule E Summary'!$C$3,0,IF(YEAR(D5)='Schedule E Summary'!$C$3,H5*(12-MONTH(D5)+0.5)/12,H5))),0)</f>
        <v>8181.818181818182</v>
      </c>
    </row>
    <row r="6" spans="1:9" x14ac:dyDescent="0.35">
      <c r="A6" s="8">
        <v>2</v>
      </c>
      <c r="B6" s="9"/>
      <c r="C6" s="9"/>
      <c r="D6" s="10"/>
      <c r="E6" s="11"/>
      <c r="F6" s="11"/>
      <c r="G6" s="12" t="str">
        <f t="shared" si="0"/>
        <v/>
      </c>
      <c r="H6" s="12" t="str">
        <f t="shared" si="1"/>
        <v/>
      </c>
      <c r="I6" s="12">
        <f>IFERROR(IF(OR(H6="",D6=""),0,IF(YEAR(D6)&gt;'Schedule E Summary'!$C$3,0,IF(YEAR(D6)='Schedule E Summary'!$C$3,H6*(12-MONTH(D6)+0.5)/12,H6))),0)</f>
        <v>0</v>
      </c>
    </row>
    <row r="7" spans="1:9" x14ac:dyDescent="0.35">
      <c r="A7" s="8">
        <v>3</v>
      </c>
      <c r="B7" s="9"/>
      <c r="C7" s="9"/>
      <c r="D7" s="10"/>
      <c r="E7" s="11"/>
      <c r="F7" s="11"/>
      <c r="G7" s="12" t="str">
        <f t="shared" si="0"/>
        <v/>
      </c>
      <c r="H7" s="12" t="str">
        <f t="shared" si="1"/>
        <v/>
      </c>
      <c r="I7" s="12">
        <f>IFERROR(IF(OR(H7="",D7=""),0,IF(YEAR(D7)&gt;'Schedule E Summary'!$C$3,0,IF(YEAR(D7)='Schedule E Summary'!$C$3,H7*(12-MONTH(D7)+0.5)/12,H7))),0)</f>
        <v>0</v>
      </c>
    </row>
    <row r="8" spans="1:9" x14ac:dyDescent="0.35">
      <c r="A8" s="8">
        <v>4</v>
      </c>
      <c r="B8" s="9"/>
      <c r="C8" s="9"/>
      <c r="D8" s="10"/>
      <c r="E8" s="11"/>
      <c r="F8" s="11"/>
      <c r="G8" s="12" t="str">
        <f t="shared" si="0"/>
        <v/>
      </c>
      <c r="H8" s="12" t="str">
        <f t="shared" si="1"/>
        <v/>
      </c>
      <c r="I8" s="12">
        <f>IFERROR(IF(OR(H8="",D8=""),0,IF(YEAR(D8)&gt;'Schedule E Summary'!$C$3,0,IF(YEAR(D8)='Schedule E Summary'!$C$3,H8*(12-MONTH(D8)+0.5)/12,H8))),0)</f>
        <v>0</v>
      </c>
    </row>
    <row r="9" spans="1:9" x14ac:dyDescent="0.35">
      <c r="A9" s="8">
        <v>5</v>
      </c>
      <c r="B9" s="9"/>
      <c r="C9" s="9"/>
      <c r="D9" s="10"/>
      <c r="E9" s="11"/>
      <c r="F9" s="11"/>
      <c r="G9" s="12" t="str">
        <f t="shared" si="0"/>
        <v/>
      </c>
      <c r="H9" s="12" t="str">
        <f t="shared" si="1"/>
        <v/>
      </c>
      <c r="I9" s="12">
        <f>IFERROR(IF(OR(H9="",D9=""),0,IF(YEAR(D9)&gt;'Schedule E Summary'!$C$3,0,IF(YEAR(D9)='Schedule E Summary'!$C$3,H9*(12-MONTH(D9)+0.5)/12,H9))),0)</f>
        <v>0</v>
      </c>
    </row>
    <row r="10" spans="1:9" x14ac:dyDescent="0.35">
      <c r="A10" s="8">
        <v>6</v>
      </c>
      <c r="B10" s="9"/>
      <c r="C10" s="9"/>
      <c r="D10" s="10"/>
      <c r="E10" s="11"/>
      <c r="F10" s="11"/>
      <c r="G10" s="12" t="str">
        <f t="shared" si="0"/>
        <v/>
      </c>
      <c r="H10" s="12" t="str">
        <f t="shared" si="1"/>
        <v/>
      </c>
      <c r="I10" s="12">
        <f>IFERROR(IF(OR(H10="",D10=""),0,IF(YEAR(D10)&gt;'Schedule E Summary'!$C$3,0,IF(YEAR(D10)='Schedule E Summary'!$C$3,H10*(12-MONTH(D10)+0.5)/12,H10))),0)</f>
        <v>0</v>
      </c>
    </row>
    <row r="11" spans="1:9" x14ac:dyDescent="0.35">
      <c r="A11" s="8">
        <v>7</v>
      </c>
      <c r="B11" s="9"/>
      <c r="C11" s="9"/>
      <c r="D11" s="10"/>
      <c r="E11" s="11"/>
      <c r="F11" s="11"/>
      <c r="G11" s="12" t="str">
        <f t="shared" si="0"/>
        <v/>
      </c>
      <c r="H11" s="12" t="str">
        <f t="shared" si="1"/>
        <v/>
      </c>
      <c r="I11" s="12">
        <f>IFERROR(IF(OR(H11="",D11=""),0,IF(YEAR(D11)&gt;'Schedule E Summary'!$C$3,0,IF(YEAR(D11)='Schedule E Summary'!$C$3,H11*(12-MONTH(D11)+0.5)/12,H11))),0)</f>
        <v>0</v>
      </c>
    </row>
    <row r="12" spans="1:9" x14ac:dyDescent="0.35">
      <c r="A12" s="8">
        <v>8</v>
      </c>
      <c r="B12" s="9"/>
      <c r="C12" s="9"/>
      <c r="D12" s="10"/>
      <c r="E12" s="11"/>
      <c r="F12" s="11"/>
      <c r="G12" s="12" t="str">
        <f t="shared" si="0"/>
        <v/>
      </c>
      <c r="H12" s="12" t="str">
        <f t="shared" si="1"/>
        <v/>
      </c>
      <c r="I12" s="12">
        <f>IFERROR(IF(OR(H12="",D12=""),0,IF(YEAR(D12)&gt;'Schedule E Summary'!$C$3,0,IF(YEAR(D12)='Schedule E Summary'!$C$3,H12*(12-MONTH(D12)+0.5)/12,H12))),0)</f>
        <v>0</v>
      </c>
    </row>
    <row r="13" spans="1:9" x14ac:dyDescent="0.35">
      <c r="A13" s="8">
        <v>9</v>
      </c>
      <c r="B13" s="9"/>
      <c r="C13" s="9"/>
      <c r="D13" s="10"/>
      <c r="E13" s="11"/>
      <c r="F13" s="11"/>
      <c r="G13" s="12" t="str">
        <f t="shared" si="0"/>
        <v/>
      </c>
      <c r="H13" s="12" t="str">
        <f t="shared" si="1"/>
        <v/>
      </c>
      <c r="I13" s="12">
        <f>IFERROR(IF(OR(H13="",D13=""),0,IF(YEAR(D13)&gt;'Schedule E Summary'!$C$3,0,IF(YEAR(D13)='Schedule E Summary'!$C$3,H13*(12-MONTH(D13)+0.5)/12,H13))),0)</f>
        <v>0</v>
      </c>
    </row>
    <row r="14" spans="1:9" x14ac:dyDescent="0.35">
      <c r="A14" s="8">
        <v>10</v>
      </c>
      <c r="B14" s="9"/>
      <c r="C14" s="9"/>
      <c r="D14" s="10"/>
      <c r="E14" s="11"/>
      <c r="F14" s="11"/>
      <c r="G14" s="12" t="str">
        <f t="shared" si="0"/>
        <v/>
      </c>
      <c r="H14" s="12" t="str">
        <f t="shared" si="1"/>
        <v/>
      </c>
      <c r="I14" s="12">
        <f>IFERROR(IF(OR(H14="",D14=""),0,IF(YEAR(D14)&gt;'Schedule E Summary'!$C$3,0,IF(YEAR(D14)='Schedule E Summary'!$C$3,H14*(12-MONTH(D14)+0.5)/12,H14))),0)</f>
        <v>0</v>
      </c>
    </row>
    <row r="16" spans="1:9" x14ac:dyDescent="0.35">
      <c r="A16" s="5" t="s">
        <v>64</v>
      </c>
    </row>
  </sheetData>
  <conditionalFormatting sqref="D5:F14">
    <cfRule type="expression" dxfId="6" priority="1">
      <formula>AND($B5&lt;&gt;"",D5&lt;&gt;"",NOT(ISNUMBER(D5)))</formula>
    </cfRule>
  </conditionalFormatting>
  <dataValidations count="3">
    <dataValidation type="custom" allowBlank="1" showErrorMessage="1" errorTitle="Property name" error="Each property needs a unique name without * ? or ~ characters." sqref="B5:B14" xr:uid="{00000000-0002-0000-0200-000000000000}">
      <formula1>AND(ISERROR(FIND("*",B5)),ISERROR(FIND("?",B5)),ISERROR(FIND("~",B5)),SUMPRODUCT(--($B$5:$B$14=B5))=1)</formula1>
    </dataValidation>
    <dataValidation type="date" operator="greaterThan" allowBlank="1" showErrorMessage="1" errorTitle="Date" error="Enter a real date, e.g. 6/15/2021." sqref="D5:D14" xr:uid="{00000000-0002-0000-0200-000001000000}">
      <formula1>1</formula1>
    </dataValidation>
    <dataValidation type="decimal" operator="greaterThanOrEqual" allowBlank="1" showErrorMessage="1" errorTitle="Amount" error="Enter a number (no $ sign or text)." sqref="E5:F14" xr:uid="{00000000-0002-0000-0200-000002000000}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B3A86"/>
  </sheetPr>
  <dimension ref="A1:I1004"/>
  <sheetViews>
    <sheetView showGridLines="0"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3" customWidth="1"/>
    <col min="2" max="2" width="32" customWidth="1"/>
    <col min="3" max="3" width="30" customWidth="1"/>
    <col min="4" max="4" width="34" customWidth="1"/>
    <col min="5" max="5" width="14" customWidth="1"/>
    <col min="6" max="6" width="10" customWidth="1"/>
    <col min="7" max="7" width="3" customWidth="1"/>
    <col min="8" max="8" width="12" customWidth="1"/>
    <col min="9" max="9" width="8" customWidth="1"/>
  </cols>
  <sheetData>
    <row r="1" spans="1:9" ht="23" x14ac:dyDescent="0.5">
      <c r="A1" s="1" t="s">
        <v>65</v>
      </c>
    </row>
    <row r="2" spans="1:9" x14ac:dyDescent="0.35">
      <c r="A2" s="2" t="s">
        <v>66</v>
      </c>
      <c r="H2" s="13" t="s">
        <v>67</v>
      </c>
      <c r="I2" s="13">
        <f>SUMPRODUCT((($A$5:$A$1004&lt;&gt;"")+($B$5:$B$1004&lt;&gt;"")+($C$5:$C$1004&lt;&gt;"")+($E$5:$E$1004&lt;&gt;"")&gt;0)*(((ISNUMBER($A$5:$A$1004)=FALSE)+($B$5:$B$1004="")+ISNA(MATCH($B$5:$B$1004,Lists!$E$3:$E$12,0))+($C$5:$C$1004="")+ISNA(MATCH($C$5:$C$1004,Lists!$A$2:$A$17,0))+(ISNUMBER($E$5:$E$1004)=FALSE))&gt;0))</f>
        <v>0</v>
      </c>
    </row>
    <row r="3" spans="1:9" x14ac:dyDescent="0.35">
      <c r="A3" s="13" t="s">
        <v>68</v>
      </c>
    </row>
    <row r="4" spans="1:9" x14ac:dyDescent="0.35">
      <c r="A4" s="7" t="s">
        <v>69</v>
      </c>
      <c r="B4" s="7" t="s">
        <v>26</v>
      </c>
      <c r="C4" s="7" t="s">
        <v>70</v>
      </c>
      <c r="D4" s="7" t="s">
        <v>71</v>
      </c>
      <c r="E4" s="7" t="s">
        <v>49</v>
      </c>
      <c r="F4" s="7" t="s">
        <v>72</v>
      </c>
    </row>
    <row r="5" spans="1:9" x14ac:dyDescent="0.35">
      <c r="A5" s="10">
        <v>46023</v>
      </c>
      <c r="B5" s="9" t="s">
        <v>63</v>
      </c>
      <c r="C5" s="9" t="s">
        <v>73</v>
      </c>
      <c r="D5" s="9" t="s">
        <v>74</v>
      </c>
      <c r="E5" s="11">
        <v>2845</v>
      </c>
      <c r="F5" s="8" t="str">
        <f>IF(C5="","",IFERROR(INDEX(Lists!$C$2:$C$17,MATCH(C5,Lists!$A$2:$A$17,0)),"?"))</f>
        <v>Income</v>
      </c>
    </row>
    <row r="6" spans="1:9" x14ac:dyDescent="0.35">
      <c r="A6" s="10">
        <v>46031</v>
      </c>
      <c r="B6" s="9" t="s">
        <v>63</v>
      </c>
      <c r="C6" s="9" t="s">
        <v>75</v>
      </c>
      <c r="D6" s="9" t="s">
        <v>76</v>
      </c>
      <c r="E6" s="11">
        <v>215</v>
      </c>
      <c r="F6" s="8" t="str">
        <f>IF(C6="","",IFERROR(INDEX(Lists!$C$2:$C$17,MATCH(C6,Lists!$A$2:$A$17,0)),"?"))</f>
        <v>Expense</v>
      </c>
    </row>
    <row r="7" spans="1:9" x14ac:dyDescent="0.35">
      <c r="A7" s="10">
        <v>46050</v>
      </c>
      <c r="B7" s="9" t="s">
        <v>63</v>
      </c>
      <c r="C7" s="9" t="s">
        <v>77</v>
      </c>
      <c r="D7" s="9" t="s">
        <v>78</v>
      </c>
      <c r="E7" s="11">
        <v>612.4</v>
      </c>
      <c r="F7" s="8" t="str">
        <f>IF(C7="","",IFERROR(INDEX(Lists!$C$2:$C$17,MATCH(C7,Lists!$A$2:$A$17,0)),"?"))</f>
        <v>Expense</v>
      </c>
    </row>
    <row r="8" spans="1:9" x14ac:dyDescent="0.35">
      <c r="A8" s="10">
        <v>46054</v>
      </c>
      <c r="B8" s="9" t="s">
        <v>63</v>
      </c>
      <c r="C8" s="9" t="s">
        <v>73</v>
      </c>
      <c r="D8" s="9" t="s">
        <v>79</v>
      </c>
      <c r="E8" s="11">
        <v>2845</v>
      </c>
      <c r="F8" s="8" t="str">
        <f>IF(C8="","",IFERROR(INDEX(Lists!$C$2:$C$17,MATCH(C8,Lists!$A$2:$A$17,0)),"?"))</f>
        <v>Income</v>
      </c>
    </row>
    <row r="9" spans="1:9" x14ac:dyDescent="0.35">
      <c r="A9" s="10">
        <v>46063</v>
      </c>
      <c r="B9" s="9" t="s">
        <v>63</v>
      </c>
      <c r="C9" s="9" t="s">
        <v>80</v>
      </c>
      <c r="D9" s="9" t="s">
        <v>81</v>
      </c>
      <c r="E9" s="11">
        <v>1050</v>
      </c>
      <c r="F9" s="8" t="str">
        <f>IF(C9="","",IFERROR(INDEX(Lists!$C$2:$C$17,MATCH(C9,Lists!$A$2:$A$17,0)),"?"))</f>
        <v>Expense</v>
      </c>
    </row>
    <row r="10" spans="1:9" x14ac:dyDescent="0.35">
      <c r="A10" s="10">
        <v>46081</v>
      </c>
      <c r="B10" s="9" t="s">
        <v>63</v>
      </c>
      <c r="C10" s="9" t="s">
        <v>77</v>
      </c>
      <c r="D10" s="9" t="s">
        <v>82</v>
      </c>
      <c r="E10" s="11">
        <v>612.4</v>
      </c>
      <c r="F10" s="8" t="str">
        <f>IF(C10="","",IFERROR(INDEX(Lists!$C$2:$C$17,MATCH(C10,Lists!$A$2:$A$17,0)),"?"))</f>
        <v>Expense</v>
      </c>
    </row>
    <row r="11" spans="1:9" x14ac:dyDescent="0.35">
      <c r="A11" s="10">
        <v>46082</v>
      </c>
      <c r="B11" s="9" t="s">
        <v>63</v>
      </c>
      <c r="C11" s="9" t="s">
        <v>73</v>
      </c>
      <c r="D11" s="9" t="s">
        <v>83</v>
      </c>
      <c r="E11" s="11">
        <v>2845</v>
      </c>
      <c r="F11" s="8" t="str">
        <f>IF(C11="","",IFERROR(INDEX(Lists!$C$2:$C$17,MATCH(C11,Lists!$A$2:$A$17,0)),"?"))</f>
        <v>Income</v>
      </c>
    </row>
    <row r="12" spans="1:9" x14ac:dyDescent="0.35">
      <c r="A12" s="10">
        <v>46109</v>
      </c>
      <c r="B12" s="9" t="s">
        <v>63</v>
      </c>
      <c r="C12" s="9" t="s">
        <v>77</v>
      </c>
      <c r="D12" s="9" t="s">
        <v>84</v>
      </c>
      <c r="E12" s="11">
        <v>612.4</v>
      </c>
      <c r="F12" s="8" t="str">
        <f>IF(C12="","",IFERROR(INDEX(Lists!$C$2:$C$17,MATCH(C12,Lists!$A$2:$A$17,0)),"?"))</f>
        <v>Expense</v>
      </c>
    </row>
    <row r="13" spans="1:9" x14ac:dyDescent="0.35">
      <c r="A13" s="10">
        <v>46113</v>
      </c>
      <c r="B13" s="9" t="s">
        <v>63</v>
      </c>
      <c r="C13" s="9" t="s">
        <v>73</v>
      </c>
      <c r="D13" s="9" t="s">
        <v>85</v>
      </c>
      <c r="E13" s="11">
        <v>2845</v>
      </c>
      <c r="F13" s="8" t="str">
        <f>IF(C13="","",IFERROR(INDEX(Lists!$C$2:$C$17,MATCH(C13,Lists!$A$2:$A$17,0)),"?"))</f>
        <v>Income</v>
      </c>
    </row>
    <row r="14" spans="1:9" x14ac:dyDescent="0.35">
      <c r="A14" s="10">
        <v>46122</v>
      </c>
      <c r="B14" s="9" t="s">
        <v>63</v>
      </c>
      <c r="C14" s="9" t="s">
        <v>86</v>
      </c>
      <c r="D14" s="9" t="s">
        <v>87</v>
      </c>
      <c r="E14" s="11">
        <v>1425</v>
      </c>
      <c r="F14" s="8" t="str">
        <f>IF(C14="","",IFERROR(INDEX(Lists!$C$2:$C$17,MATCH(C14,Lists!$A$2:$A$17,0)),"?"))</f>
        <v>Expense</v>
      </c>
    </row>
    <row r="15" spans="1:9" x14ac:dyDescent="0.35">
      <c r="A15" s="10">
        <v>46140</v>
      </c>
      <c r="B15" s="9" t="s">
        <v>63</v>
      </c>
      <c r="C15" s="9" t="s">
        <v>77</v>
      </c>
      <c r="D15" s="9" t="s">
        <v>88</v>
      </c>
      <c r="E15" s="11">
        <v>612.4</v>
      </c>
      <c r="F15" s="8" t="str">
        <f>IF(C15="","",IFERROR(INDEX(Lists!$C$2:$C$17,MATCH(C15,Lists!$A$2:$A$17,0)),"?"))</f>
        <v>Expense</v>
      </c>
    </row>
    <row r="16" spans="1:9" x14ac:dyDescent="0.35">
      <c r="A16" s="10">
        <v>46143</v>
      </c>
      <c r="B16" s="9" t="s">
        <v>63</v>
      </c>
      <c r="C16" s="9" t="s">
        <v>73</v>
      </c>
      <c r="D16" s="9" t="s">
        <v>89</v>
      </c>
      <c r="E16" s="11">
        <v>2845</v>
      </c>
      <c r="F16" s="8" t="str">
        <f>IF(C16="","",IFERROR(INDEX(Lists!$C$2:$C$17,MATCH(C16,Lists!$A$2:$A$17,0)),"?"))</f>
        <v>Income</v>
      </c>
    </row>
    <row r="17" spans="1:6" x14ac:dyDescent="0.35">
      <c r="A17" s="10">
        <v>46170</v>
      </c>
      <c r="B17" s="9" t="s">
        <v>63</v>
      </c>
      <c r="C17" s="9" t="s">
        <v>77</v>
      </c>
      <c r="D17" s="9" t="s">
        <v>90</v>
      </c>
      <c r="E17" s="11">
        <v>612.4</v>
      </c>
      <c r="F17" s="8" t="str">
        <f>IF(C17="","",IFERROR(INDEX(Lists!$C$2:$C$17,MATCH(C17,Lists!$A$2:$A$17,0)),"?"))</f>
        <v>Expense</v>
      </c>
    </row>
    <row r="18" spans="1:6" x14ac:dyDescent="0.35">
      <c r="A18" s="10">
        <v>46174</v>
      </c>
      <c r="B18" s="9" t="s">
        <v>63</v>
      </c>
      <c r="C18" s="9" t="s">
        <v>73</v>
      </c>
      <c r="D18" s="9" t="s">
        <v>91</v>
      </c>
      <c r="E18" s="11">
        <v>2845</v>
      </c>
      <c r="F18" s="8" t="str">
        <f>IF(C18="","",IFERROR(INDEX(Lists!$C$2:$C$17,MATCH(C18,Lists!$A$2:$A$17,0)),"?"))</f>
        <v>Income</v>
      </c>
    </row>
    <row r="19" spans="1:6" x14ac:dyDescent="0.35">
      <c r="A19" s="10">
        <v>46201</v>
      </c>
      <c r="B19" s="9" t="s">
        <v>63</v>
      </c>
      <c r="C19" s="9" t="s">
        <v>77</v>
      </c>
      <c r="D19" s="9" t="s">
        <v>92</v>
      </c>
      <c r="E19" s="11">
        <v>612.4</v>
      </c>
      <c r="F19" s="8" t="str">
        <f>IF(C19="","",IFERROR(INDEX(Lists!$C$2:$C$17,MATCH(C19,Lists!$A$2:$A$17,0)),"?"))</f>
        <v>Expense</v>
      </c>
    </row>
    <row r="20" spans="1:6" x14ac:dyDescent="0.35">
      <c r="A20" s="10">
        <v>46204</v>
      </c>
      <c r="B20" s="9" t="s">
        <v>63</v>
      </c>
      <c r="C20" s="9" t="s">
        <v>73</v>
      </c>
      <c r="D20" s="9" t="s">
        <v>93</v>
      </c>
      <c r="E20" s="11">
        <v>2845</v>
      </c>
      <c r="F20" s="8" t="str">
        <f>IF(C20="","",IFERROR(INDEX(Lists!$C$2:$C$17,MATCH(C20,Lists!$A$2:$A$17,0)),"?"))</f>
        <v>Income</v>
      </c>
    </row>
    <row r="21" spans="1:6" x14ac:dyDescent="0.35">
      <c r="A21" s="10">
        <v>46231</v>
      </c>
      <c r="B21" s="9" t="s">
        <v>63</v>
      </c>
      <c r="C21" s="9" t="s">
        <v>77</v>
      </c>
      <c r="D21" s="9" t="s">
        <v>94</v>
      </c>
      <c r="E21" s="11">
        <v>612.4</v>
      </c>
      <c r="F21" s="8" t="str">
        <f>IF(C21="","",IFERROR(INDEX(Lists!$C$2:$C$17,MATCH(C21,Lists!$A$2:$A$17,0)),"?"))</f>
        <v>Expense</v>
      </c>
    </row>
    <row r="22" spans="1:6" x14ac:dyDescent="0.35">
      <c r="A22" s="10">
        <v>46235</v>
      </c>
      <c r="B22" s="9" t="s">
        <v>63</v>
      </c>
      <c r="C22" s="9" t="s">
        <v>73</v>
      </c>
      <c r="D22" s="9" t="s">
        <v>95</v>
      </c>
      <c r="E22" s="11">
        <v>2845</v>
      </c>
      <c r="F22" s="8" t="str">
        <f>IF(C22="","",IFERROR(INDEX(Lists!$C$2:$C$17,MATCH(C22,Lists!$A$2:$A$17,0)),"?"))</f>
        <v>Income</v>
      </c>
    </row>
    <row r="23" spans="1:6" x14ac:dyDescent="0.35">
      <c r="A23" s="10">
        <v>46262</v>
      </c>
      <c r="B23" s="9" t="s">
        <v>63</v>
      </c>
      <c r="C23" s="9" t="s">
        <v>77</v>
      </c>
      <c r="D23" s="9" t="s">
        <v>96</v>
      </c>
      <c r="E23" s="11">
        <v>612.4</v>
      </c>
      <c r="F23" s="8" t="str">
        <f>IF(C23="","",IFERROR(INDEX(Lists!$C$2:$C$17,MATCH(C23,Lists!$A$2:$A$17,0)),"?"))</f>
        <v>Expense</v>
      </c>
    </row>
    <row r="24" spans="1:6" x14ac:dyDescent="0.35">
      <c r="A24" s="10">
        <v>46266</v>
      </c>
      <c r="B24" s="9" t="s">
        <v>63</v>
      </c>
      <c r="C24" s="9" t="s">
        <v>73</v>
      </c>
      <c r="D24" s="9" t="s">
        <v>97</v>
      </c>
      <c r="E24" s="11">
        <v>2845</v>
      </c>
      <c r="F24" s="8" t="str">
        <f>IF(C24="","",IFERROR(INDEX(Lists!$C$2:$C$17,MATCH(C24,Lists!$A$2:$A$17,0)),"?"))</f>
        <v>Income</v>
      </c>
    </row>
    <row r="25" spans="1:6" x14ac:dyDescent="0.35">
      <c r="A25" s="10">
        <v>46293</v>
      </c>
      <c r="B25" s="9" t="s">
        <v>63</v>
      </c>
      <c r="C25" s="9" t="s">
        <v>77</v>
      </c>
      <c r="D25" s="9" t="s">
        <v>98</v>
      </c>
      <c r="E25" s="11">
        <v>612.4</v>
      </c>
      <c r="F25" s="8" t="str">
        <f>IF(C25="","",IFERROR(INDEX(Lists!$C$2:$C$17,MATCH(C25,Lists!$A$2:$A$17,0)),"?"))</f>
        <v>Expense</v>
      </c>
    </row>
    <row r="26" spans="1:6" x14ac:dyDescent="0.35">
      <c r="A26" s="10">
        <v>46296</v>
      </c>
      <c r="B26" s="9" t="s">
        <v>63</v>
      </c>
      <c r="C26" s="9" t="s">
        <v>73</v>
      </c>
      <c r="D26" s="9" t="s">
        <v>99</v>
      </c>
      <c r="E26" s="11">
        <v>2845</v>
      </c>
      <c r="F26" s="8" t="str">
        <f>IF(C26="","",IFERROR(INDEX(Lists!$C$2:$C$17,MATCH(C26,Lists!$A$2:$A$17,0)),"?"))</f>
        <v>Income</v>
      </c>
    </row>
    <row r="27" spans="1:6" x14ac:dyDescent="0.35">
      <c r="A27" s="10">
        <v>46305</v>
      </c>
      <c r="B27" s="9" t="s">
        <v>63</v>
      </c>
      <c r="C27" s="9" t="s">
        <v>86</v>
      </c>
      <c r="D27" s="9" t="s">
        <v>100</v>
      </c>
      <c r="E27" s="11">
        <v>1425</v>
      </c>
      <c r="F27" s="8" t="str">
        <f>IF(C27="","",IFERROR(INDEX(Lists!$C$2:$C$17,MATCH(C27,Lists!$A$2:$A$17,0)),"?"))</f>
        <v>Expense</v>
      </c>
    </row>
    <row r="28" spans="1:6" x14ac:dyDescent="0.35">
      <c r="A28" s="10">
        <v>46323</v>
      </c>
      <c r="B28" s="9" t="s">
        <v>63</v>
      </c>
      <c r="C28" s="9" t="s">
        <v>77</v>
      </c>
      <c r="D28" s="9" t="s">
        <v>101</v>
      </c>
      <c r="E28" s="11">
        <v>612.4</v>
      </c>
      <c r="F28" s="8" t="str">
        <f>IF(C28="","",IFERROR(INDEX(Lists!$C$2:$C$17,MATCH(C28,Lists!$A$2:$A$17,0)),"?"))</f>
        <v>Expense</v>
      </c>
    </row>
    <row r="29" spans="1:6" x14ac:dyDescent="0.35">
      <c r="A29" s="10"/>
      <c r="B29" s="9"/>
      <c r="C29" s="9"/>
      <c r="D29" s="9"/>
      <c r="E29" s="11"/>
      <c r="F29" s="8" t="str">
        <f>IF(C29="","",IFERROR(INDEX(Lists!$C$2:$C$17,MATCH(C29,Lists!$A$2:$A$17,0)),"?"))</f>
        <v/>
      </c>
    </row>
    <row r="30" spans="1:6" x14ac:dyDescent="0.35">
      <c r="A30" s="10"/>
      <c r="B30" s="9"/>
      <c r="C30" s="9"/>
      <c r="D30" s="9"/>
      <c r="E30" s="11"/>
      <c r="F30" s="8" t="str">
        <f>IF(C30="","",IFERROR(INDEX(Lists!$C$2:$C$17,MATCH(C30,Lists!$A$2:$A$17,0)),"?"))</f>
        <v/>
      </c>
    </row>
    <row r="31" spans="1:6" x14ac:dyDescent="0.35">
      <c r="A31" s="10"/>
      <c r="B31" s="9"/>
      <c r="C31" s="9"/>
      <c r="D31" s="9"/>
      <c r="E31" s="11"/>
      <c r="F31" s="8" t="str">
        <f>IF(C31="","",IFERROR(INDEX(Lists!$C$2:$C$17,MATCH(C31,Lists!$A$2:$A$17,0)),"?"))</f>
        <v/>
      </c>
    </row>
    <row r="32" spans="1:6" x14ac:dyDescent="0.35">
      <c r="A32" s="10"/>
      <c r="B32" s="9"/>
      <c r="C32" s="9"/>
      <c r="D32" s="9"/>
      <c r="E32" s="11"/>
      <c r="F32" s="8" t="str">
        <f>IF(C32="","",IFERROR(INDEX(Lists!$C$2:$C$17,MATCH(C32,Lists!$A$2:$A$17,0)),"?"))</f>
        <v/>
      </c>
    </row>
    <row r="33" spans="1:6" x14ac:dyDescent="0.35">
      <c r="A33" s="10"/>
      <c r="B33" s="9"/>
      <c r="C33" s="9"/>
      <c r="D33" s="9"/>
      <c r="E33" s="11"/>
      <c r="F33" s="8" t="str">
        <f>IF(C33="","",IFERROR(INDEX(Lists!$C$2:$C$17,MATCH(C33,Lists!$A$2:$A$17,0)),"?"))</f>
        <v/>
      </c>
    </row>
    <row r="34" spans="1:6" x14ac:dyDescent="0.35">
      <c r="A34" s="10"/>
      <c r="B34" s="9"/>
      <c r="C34" s="9"/>
      <c r="D34" s="9"/>
      <c r="E34" s="11"/>
      <c r="F34" s="8" t="str">
        <f>IF(C34="","",IFERROR(INDEX(Lists!$C$2:$C$17,MATCH(C34,Lists!$A$2:$A$17,0)),"?"))</f>
        <v/>
      </c>
    </row>
    <row r="35" spans="1:6" x14ac:dyDescent="0.35">
      <c r="A35" s="10"/>
      <c r="B35" s="9"/>
      <c r="C35" s="9"/>
      <c r="D35" s="9"/>
      <c r="E35" s="11"/>
      <c r="F35" s="8" t="str">
        <f>IF(C35="","",IFERROR(INDEX(Lists!$C$2:$C$17,MATCH(C35,Lists!$A$2:$A$17,0)),"?"))</f>
        <v/>
      </c>
    </row>
    <row r="36" spans="1:6" x14ac:dyDescent="0.35">
      <c r="A36" s="10"/>
      <c r="B36" s="9"/>
      <c r="C36" s="9"/>
      <c r="D36" s="9"/>
      <c r="E36" s="11"/>
      <c r="F36" s="8" t="str">
        <f>IF(C36="","",IFERROR(INDEX(Lists!$C$2:$C$17,MATCH(C36,Lists!$A$2:$A$17,0)),"?"))</f>
        <v/>
      </c>
    </row>
    <row r="37" spans="1:6" x14ac:dyDescent="0.35">
      <c r="A37" s="10"/>
      <c r="B37" s="9"/>
      <c r="C37" s="9"/>
      <c r="D37" s="9"/>
      <c r="E37" s="11"/>
      <c r="F37" s="8" t="str">
        <f>IF(C37="","",IFERROR(INDEX(Lists!$C$2:$C$17,MATCH(C37,Lists!$A$2:$A$17,0)),"?"))</f>
        <v/>
      </c>
    </row>
    <row r="38" spans="1:6" x14ac:dyDescent="0.35">
      <c r="A38" s="10"/>
      <c r="B38" s="9"/>
      <c r="C38" s="9"/>
      <c r="D38" s="9"/>
      <c r="E38" s="11"/>
      <c r="F38" s="8" t="str">
        <f>IF(C38="","",IFERROR(INDEX(Lists!$C$2:$C$17,MATCH(C38,Lists!$A$2:$A$17,0)),"?"))</f>
        <v/>
      </c>
    </row>
    <row r="39" spans="1:6" x14ac:dyDescent="0.35">
      <c r="A39" s="10"/>
      <c r="B39" s="9"/>
      <c r="C39" s="9"/>
      <c r="D39" s="9"/>
      <c r="E39" s="11"/>
      <c r="F39" s="8" t="str">
        <f>IF(C39="","",IFERROR(INDEX(Lists!$C$2:$C$17,MATCH(C39,Lists!$A$2:$A$17,0)),"?"))</f>
        <v/>
      </c>
    </row>
    <row r="40" spans="1:6" x14ac:dyDescent="0.35">
      <c r="A40" s="10"/>
      <c r="B40" s="9"/>
      <c r="C40" s="9"/>
      <c r="D40" s="9"/>
      <c r="E40" s="11"/>
      <c r="F40" s="8" t="str">
        <f>IF(C40="","",IFERROR(INDEX(Lists!$C$2:$C$17,MATCH(C40,Lists!$A$2:$A$17,0)),"?"))</f>
        <v/>
      </c>
    </row>
    <row r="41" spans="1:6" x14ac:dyDescent="0.35">
      <c r="A41" s="10"/>
      <c r="B41" s="9"/>
      <c r="C41" s="9"/>
      <c r="D41" s="9"/>
      <c r="E41" s="11"/>
      <c r="F41" s="8" t="str">
        <f>IF(C41="","",IFERROR(INDEX(Lists!$C$2:$C$17,MATCH(C41,Lists!$A$2:$A$17,0)),"?"))</f>
        <v/>
      </c>
    </row>
    <row r="42" spans="1:6" x14ac:dyDescent="0.35">
      <c r="A42" s="10"/>
      <c r="B42" s="9"/>
      <c r="C42" s="9"/>
      <c r="D42" s="9"/>
      <c r="E42" s="11"/>
      <c r="F42" s="8" t="str">
        <f>IF(C42="","",IFERROR(INDEX(Lists!$C$2:$C$17,MATCH(C42,Lists!$A$2:$A$17,0)),"?"))</f>
        <v/>
      </c>
    </row>
    <row r="43" spans="1:6" x14ac:dyDescent="0.35">
      <c r="A43" s="10"/>
      <c r="B43" s="9"/>
      <c r="C43" s="9"/>
      <c r="D43" s="9"/>
      <c r="E43" s="11"/>
      <c r="F43" s="8" t="str">
        <f>IF(C43="","",IFERROR(INDEX(Lists!$C$2:$C$17,MATCH(C43,Lists!$A$2:$A$17,0)),"?"))</f>
        <v/>
      </c>
    </row>
    <row r="44" spans="1:6" x14ac:dyDescent="0.35">
      <c r="A44" s="10"/>
      <c r="B44" s="9"/>
      <c r="C44" s="9"/>
      <c r="D44" s="9"/>
      <c r="E44" s="11"/>
      <c r="F44" s="8" t="str">
        <f>IF(C44="","",IFERROR(INDEX(Lists!$C$2:$C$17,MATCH(C44,Lists!$A$2:$A$17,0)),"?"))</f>
        <v/>
      </c>
    </row>
    <row r="45" spans="1:6" x14ac:dyDescent="0.35">
      <c r="A45" s="10"/>
      <c r="B45" s="9"/>
      <c r="C45" s="9"/>
      <c r="D45" s="9"/>
      <c r="E45" s="11"/>
      <c r="F45" s="8" t="str">
        <f>IF(C45="","",IFERROR(INDEX(Lists!$C$2:$C$17,MATCH(C45,Lists!$A$2:$A$17,0)),"?"))</f>
        <v/>
      </c>
    </row>
    <row r="46" spans="1:6" x14ac:dyDescent="0.35">
      <c r="A46" s="10"/>
      <c r="B46" s="9"/>
      <c r="C46" s="9"/>
      <c r="D46" s="9"/>
      <c r="E46" s="11"/>
      <c r="F46" s="8" t="str">
        <f>IF(C46="","",IFERROR(INDEX(Lists!$C$2:$C$17,MATCH(C46,Lists!$A$2:$A$17,0)),"?"))</f>
        <v/>
      </c>
    </row>
    <row r="47" spans="1:6" x14ac:dyDescent="0.35">
      <c r="A47" s="10"/>
      <c r="B47" s="9"/>
      <c r="C47" s="9"/>
      <c r="D47" s="9"/>
      <c r="E47" s="11"/>
      <c r="F47" s="8" t="str">
        <f>IF(C47="","",IFERROR(INDEX(Lists!$C$2:$C$17,MATCH(C47,Lists!$A$2:$A$17,0)),"?"))</f>
        <v/>
      </c>
    </row>
    <row r="48" spans="1:6" x14ac:dyDescent="0.35">
      <c r="A48" s="10"/>
      <c r="B48" s="9"/>
      <c r="C48" s="9"/>
      <c r="D48" s="9"/>
      <c r="E48" s="11"/>
      <c r="F48" s="8" t="str">
        <f>IF(C48="","",IFERROR(INDEX(Lists!$C$2:$C$17,MATCH(C48,Lists!$A$2:$A$17,0)),"?"))</f>
        <v/>
      </c>
    </row>
    <row r="49" spans="1:6" x14ac:dyDescent="0.35">
      <c r="A49" s="10"/>
      <c r="B49" s="9"/>
      <c r="C49" s="9"/>
      <c r="D49" s="9"/>
      <c r="E49" s="11"/>
      <c r="F49" s="8" t="str">
        <f>IF(C49="","",IFERROR(INDEX(Lists!$C$2:$C$17,MATCH(C49,Lists!$A$2:$A$17,0)),"?"))</f>
        <v/>
      </c>
    </row>
    <row r="50" spans="1:6" x14ac:dyDescent="0.35">
      <c r="A50" s="10"/>
      <c r="B50" s="9"/>
      <c r="C50" s="9"/>
      <c r="D50" s="9"/>
      <c r="E50" s="11"/>
      <c r="F50" s="8" t="str">
        <f>IF(C50="","",IFERROR(INDEX(Lists!$C$2:$C$17,MATCH(C50,Lists!$A$2:$A$17,0)),"?"))</f>
        <v/>
      </c>
    </row>
    <row r="51" spans="1:6" x14ac:dyDescent="0.35">
      <c r="A51" s="10"/>
      <c r="B51" s="9"/>
      <c r="C51" s="9"/>
      <c r="D51" s="9"/>
      <c r="E51" s="11"/>
      <c r="F51" s="8" t="str">
        <f>IF(C51="","",IFERROR(INDEX(Lists!$C$2:$C$17,MATCH(C51,Lists!$A$2:$A$17,0)),"?"))</f>
        <v/>
      </c>
    </row>
    <row r="52" spans="1:6" x14ac:dyDescent="0.35">
      <c r="A52" s="10"/>
      <c r="B52" s="9"/>
      <c r="C52" s="9"/>
      <c r="D52" s="9"/>
      <c r="E52" s="11"/>
      <c r="F52" s="8" t="str">
        <f>IF(C52="","",IFERROR(INDEX(Lists!$C$2:$C$17,MATCH(C52,Lists!$A$2:$A$17,0)),"?"))</f>
        <v/>
      </c>
    </row>
    <row r="53" spans="1:6" x14ac:dyDescent="0.35">
      <c r="A53" s="10"/>
      <c r="B53" s="9"/>
      <c r="C53" s="9"/>
      <c r="D53" s="9"/>
      <c r="E53" s="11"/>
      <c r="F53" s="8" t="str">
        <f>IF(C53="","",IFERROR(INDEX(Lists!$C$2:$C$17,MATCH(C53,Lists!$A$2:$A$17,0)),"?"))</f>
        <v/>
      </c>
    </row>
    <row r="54" spans="1:6" x14ac:dyDescent="0.35">
      <c r="A54" s="10"/>
      <c r="B54" s="9"/>
      <c r="C54" s="9"/>
      <c r="D54" s="9"/>
      <c r="E54" s="11"/>
      <c r="F54" s="8" t="str">
        <f>IF(C54="","",IFERROR(INDEX(Lists!$C$2:$C$17,MATCH(C54,Lists!$A$2:$A$17,0)),"?"))</f>
        <v/>
      </c>
    </row>
    <row r="55" spans="1:6" x14ac:dyDescent="0.35">
      <c r="A55" s="10"/>
      <c r="B55" s="9"/>
      <c r="C55" s="9"/>
      <c r="D55" s="9"/>
      <c r="E55" s="11"/>
      <c r="F55" s="8" t="str">
        <f>IF(C55="","",IFERROR(INDEX(Lists!$C$2:$C$17,MATCH(C55,Lists!$A$2:$A$17,0)),"?"))</f>
        <v/>
      </c>
    </row>
    <row r="56" spans="1:6" x14ac:dyDescent="0.35">
      <c r="A56" s="10"/>
      <c r="B56" s="9"/>
      <c r="C56" s="9"/>
      <c r="D56" s="9"/>
      <c r="E56" s="11"/>
      <c r="F56" s="8" t="str">
        <f>IF(C56="","",IFERROR(INDEX(Lists!$C$2:$C$17,MATCH(C56,Lists!$A$2:$A$17,0)),"?"))</f>
        <v/>
      </c>
    </row>
    <row r="57" spans="1:6" x14ac:dyDescent="0.35">
      <c r="A57" s="10"/>
      <c r="B57" s="9"/>
      <c r="C57" s="9"/>
      <c r="D57" s="9"/>
      <c r="E57" s="11"/>
      <c r="F57" s="8" t="str">
        <f>IF(C57="","",IFERROR(INDEX(Lists!$C$2:$C$17,MATCH(C57,Lists!$A$2:$A$17,0)),"?"))</f>
        <v/>
      </c>
    </row>
    <row r="58" spans="1:6" x14ac:dyDescent="0.35">
      <c r="A58" s="10"/>
      <c r="B58" s="9"/>
      <c r="C58" s="9"/>
      <c r="D58" s="9"/>
      <c r="E58" s="11"/>
      <c r="F58" s="8" t="str">
        <f>IF(C58="","",IFERROR(INDEX(Lists!$C$2:$C$17,MATCH(C58,Lists!$A$2:$A$17,0)),"?"))</f>
        <v/>
      </c>
    </row>
    <row r="59" spans="1:6" x14ac:dyDescent="0.35">
      <c r="A59" s="10"/>
      <c r="B59" s="9"/>
      <c r="C59" s="9"/>
      <c r="D59" s="9"/>
      <c r="E59" s="11"/>
      <c r="F59" s="8" t="str">
        <f>IF(C59="","",IFERROR(INDEX(Lists!$C$2:$C$17,MATCH(C59,Lists!$A$2:$A$17,0)),"?"))</f>
        <v/>
      </c>
    </row>
    <row r="60" spans="1:6" x14ac:dyDescent="0.35">
      <c r="A60" s="10"/>
      <c r="B60" s="9"/>
      <c r="C60" s="9"/>
      <c r="D60" s="9"/>
      <c r="E60" s="11"/>
      <c r="F60" s="8" t="str">
        <f>IF(C60="","",IFERROR(INDEX(Lists!$C$2:$C$17,MATCH(C60,Lists!$A$2:$A$17,0)),"?"))</f>
        <v/>
      </c>
    </row>
    <row r="61" spans="1:6" x14ac:dyDescent="0.35">
      <c r="A61" s="10"/>
      <c r="B61" s="9"/>
      <c r="C61" s="9"/>
      <c r="D61" s="9"/>
      <c r="E61" s="11"/>
      <c r="F61" s="8" t="str">
        <f>IF(C61="","",IFERROR(INDEX(Lists!$C$2:$C$17,MATCH(C61,Lists!$A$2:$A$17,0)),"?"))</f>
        <v/>
      </c>
    </row>
    <row r="62" spans="1:6" x14ac:dyDescent="0.35">
      <c r="A62" s="10"/>
      <c r="B62" s="9"/>
      <c r="C62" s="9"/>
      <c r="D62" s="9"/>
      <c r="E62" s="11"/>
      <c r="F62" s="8" t="str">
        <f>IF(C62="","",IFERROR(INDEX(Lists!$C$2:$C$17,MATCH(C62,Lists!$A$2:$A$17,0)),"?"))</f>
        <v/>
      </c>
    </row>
    <row r="63" spans="1:6" x14ac:dyDescent="0.35">
      <c r="A63" s="10"/>
      <c r="B63" s="9"/>
      <c r="C63" s="9"/>
      <c r="D63" s="9"/>
      <c r="E63" s="11"/>
      <c r="F63" s="8" t="str">
        <f>IF(C63="","",IFERROR(INDEX(Lists!$C$2:$C$17,MATCH(C63,Lists!$A$2:$A$17,0)),"?"))</f>
        <v/>
      </c>
    </row>
    <row r="64" spans="1:6" x14ac:dyDescent="0.35">
      <c r="A64" s="10"/>
      <c r="B64" s="9"/>
      <c r="C64" s="9"/>
      <c r="D64" s="9"/>
      <c r="E64" s="11"/>
      <c r="F64" s="8" t="str">
        <f>IF(C64="","",IFERROR(INDEX(Lists!$C$2:$C$17,MATCH(C64,Lists!$A$2:$A$17,0)),"?"))</f>
        <v/>
      </c>
    </row>
    <row r="65" spans="1:6" x14ac:dyDescent="0.35">
      <c r="A65" s="10"/>
      <c r="B65" s="9"/>
      <c r="C65" s="9"/>
      <c r="D65" s="9"/>
      <c r="E65" s="11"/>
      <c r="F65" s="8" t="str">
        <f>IF(C65="","",IFERROR(INDEX(Lists!$C$2:$C$17,MATCH(C65,Lists!$A$2:$A$17,0)),"?"))</f>
        <v/>
      </c>
    </row>
    <row r="66" spans="1:6" x14ac:dyDescent="0.35">
      <c r="A66" s="10"/>
      <c r="B66" s="9"/>
      <c r="C66" s="9"/>
      <c r="D66" s="9"/>
      <c r="E66" s="11"/>
      <c r="F66" s="8" t="str">
        <f>IF(C66="","",IFERROR(INDEX(Lists!$C$2:$C$17,MATCH(C66,Lists!$A$2:$A$17,0)),"?"))</f>
        <v/>
      </c>
    </row>
    <row r="67" spans="1:6" x14ac:dyDescent="0.35">
      <c r="A67" s="10"/>
      <c r="B67" s="9"/>
      <c r="C67" s="9"/>
      <c r="D67" s="9"/>
      <c r="E67" s="11"/>
      <c r="F67" s="8" t="str">
        <f>IF(C67="","",IFERROR(INDEX(Lists!$C$2:$C$17,MATCH(C67,Lists!$A$2:$A$17,0)),"?"))</f>
        <v/>
      </c>
    </row>
    <row r="68" spans="1:6" x14ac:dyDescent="0.35">
      <c r="A68" s="10"/>
      <c r="B68" s="9"/>
      <c r="C68" s="9"/>
      <c r="D68" s="9"/>
      <c r="E68" s="11"/>
      <c r="F68" s="8" t="str">
        <f>IF(C68="","",IFERROR(INDEX(Lists!$C$2:$C$17,MATCH(C68,Lists!$A$2:$A$17,0)),"?"))</f>
        <v/>
      </c>
    </row>
    <row r="69" spans="1:6" x14ac:dyDescent="0.35">
      <c r="A69" s="10"/>
      <c r="B69" s="9"/>
      <c r="C69" s="9"/>
      <c r="D69" s="9"/>
      <c r="E69" s="11"/>
      <c r="F69" s="8" t="str">
        <f>IF(C69="","",IFERROR(INDEX(Lists!$C$2:$C$17,MATCH(C69,Lists!$A$2:$A$17,0)),"?"))</f>
        <v/>
      </c>
    </row>
    <row r="70" spans="1:6" x14ac:dyDescent="0.35">
      <c r="A70" s="10"/>
      <c r="B70" s="9"/>
      <c r="C70" s="9"/>
      <c r="D70" s="9"/>
      <c r="E70" s="11"/>
      <c r="F70" s="8" t="str">
        <f>IF(C70="","",IFERROR(INDEX(Lists!$C$2:$C$17,MATCH(C70,Lists!$A$2:$A$17,0)),"?"))</f>
        <v/>
      </c>
    </row>
    <row r="71" spans="1:6" x14ac:dyDescent="0.35">
      <c r="A71" s="10"/>
      <c r="B71" s="9"/>
      <c r="C71" s="9"/>
      <c r="D71" s="9"/>
      <c r="E71" s="11"/>
      <c r="F71" s="8" t="str">
        <f>IF(C71="","",IFERROR(INDEX(Lists!$C$2:$C$17,MATCH(C71,Lists!$A$2:$A$17,0)),"?"))</f>
        <v/>
      </c>
    </row>
    <row r="72" spans="1:6" x14ac:dyDescent="0.35">
      <c r="A72" s="10"/>
      <c r="B72" s="9"/>
      <c r="C72" s="9"/>
      <c r="D72" s="9"/>
      <c r="E72" s="11"/>
      <c r="F72" s="8" t="str">
        <f>IF(C72="","",IFERROR(INDEX(Lists!$C$2:$C$17,MATCH(C72,Lists!$A$2:$A$17,0)),"?"))</f>
        <v/>
      </c>
    </row>
    <row r="73" spans="1:6" x14ac:dyDescent="0.35">
      <c r="A73" s="10"/>
      <c r="B73" s="9"/>
      <c r="C73" s="9"/>
      <c r="D73" s="9"/>
      <c r="E73" s="11"/>
      <c r="F73" s="8" t="str">
        <f>IF(C73="","",IFERROR(INDEX(Lists!$C$2:$C$17,MATCH(C73,Lists!$A$2:$A$17,0)),"?"))</f>
        <v/>
      </c>
    </row>
    <row r="74" spans="1:6" x14ac:dyDescent="0.35">
      <c r="A74" s="10"/>
      <c r="B74" s="9"/>
      <c r="C74" s="9"/>
      <c r="D74" s="9"/>
      <c r="E74" s="11"/>
      <c r="F74" s="8" t="str">
        <f>IF(C74="","",IFERROR(INDEX(Lists!$C$2:$C$17,MATCH(C74,Lists!$A$2:$A$17,0)),"?"))</f>
        <v/>
      </c>
    </row>
    <row r="75" spans="1:6" x14ac:dyDescent="0.35">
      <c r="A75" s="10"/>
      <c r="B75" s="9"/>
      <c r="C75" s="9"/>
      <c r="D75" s="9"/>
      <c r="E75" s="11"/>
      <c r="F75" s="8" t="str">
        <f>IF(C75="","",IFERROR(INDEX(Lists!$C$2:$C$17,MATCH(C75,Lists!$A$2:$A$17,0)),"?"))</f>
        <v/>
      </c>
    </row>
    <row r="76" spans="1:6" x14ac:dyDescent="0.35">
      <c r="A76" s="10"/>
      <c r="B76" s="9"/>
      <c r="C76" s="9"/>
      <c r="D76" s="9"/>
      <c r="E76" s="11"/>
      <c r="F76" s="8" t="str">
        <f>IF(C76="","",IFERROR(INDEX(Lists!$C$2:$C$17,MATCH(C76,Lists!$A$2:$A$17,0)),"?"))</f>
        <v/>
      </c>
    </row>
    <row r="77" spans="1:6" x14ac:dyDescent="0.35">
      <c r="A77" s="10"/>
      <c r="B77" s="9"/>
      <c r="C77" s="9"/>
      <c r="D77" s="9"/>
      <c r="E77" s="11"/>
      <c r="F77" s="8" t="str">
        <f>IF(C77="","",IFERROR(INDEX(Lists!$C$2:$C$17,MATCH(C77,Lists!$A$2:$A$17,0)),"?"))</f>
        <v/>
      </c>
    </row>
    <row r="78" spans="1:6" x14ac:dyDescent="0.35">
      <c r="A78" s="10"/>
      <c r="B78" s="9"/>
      <c r="C78" s="9"/>
      <c r="D78" s="9"/>
      <c r="E78" s="11"/>
      <c r="F78" s="8" t="str">
        <f>IF(C78="","",IFERROR(INDEX(Lists!$C$2:$C$17,MATCH(C78,Lists!$A$2:$A$17,0)),"?"))</f>
        <v/>
      </c>
    </row>
    <row r="79" spans="1:6" x14ac:dyDescent="0.35">
      <c r="A79" s="10"/>
      <c r="B79" s="9"/>
      <c r="C79" s="9"/>
      <c r="D79" s="9"/>
      <c r="E79" s="11"/>
      <c r="F79" s="8" t="str">
        <f>IF(C79="","",IFERROR(INDEX(Lists!$C$2:$C$17,MATCH(C79,Lists!$A$2:$A$17,0)),"?"))</f>
        <v/>
      </c>
    </row>
    <row r="80" spans="1:6" x14ac:dyDescent="0.35">
      <c r="A80" s="10"/>
      <c r="B80" s="9"/>
      <c r="C80" s="9"/>
      <c r="D80" s="9"/>
      <c r="E80" s="11"/>
      <c r="F80" s="8" t="str">
        <f>IF(C80="","",IFERROR(INDEX(Lists!$C$2:$C$17,MATCH(C80,Lists!$A$2:$A$17,0)),"?"))</f>
        <v/>
      </c>
    </row>
    <row r="81" spans="1:6" x14ac:dyDescent="0.35">
      <c r="A81" s="10"/>
      <c r="B81" s="9"/>
      <c r="C81" s="9"/>
      <c r="D81" s="9"/>
      <c r="E81" s="11"/>
      <c r="F81" s="8" t="str">
        <f>IF(C81="","",IFERROR(INDEX(Lists!$C$2:$C$17,MATCH(C81,Lists!$A$2:$A$17,0)),"?"))</f>
        <v/>
      </c>
    </row>
    <row r="82" spans="1:6" x14ac:dyDescent="0.35">
      <c r="A82" s="10"/>
      <c r="B82" s="9"/>
      <c r="C82" s="9"/>
      <c r="D82" s="9"/>
      <c r="E82" s="11"/>
      <c r="F82" s="8" t="str">
        <f>IF(C82="","",IFERROR(INDEX(Lists!$C$2:$C$17,MATCH(C82,Lists!$A$2:$A$17,0)),"?"))</f>
        <v/>
      </c>
    </row>
    <row r="83" spans="1:6" x14ac:dyDescent="0.35">
      <c r="A83" s="10"/>
      <c r="B83" s="9"/>
      <c r="C83" s="9"/>
      <c r="D83" s="9"/>
      <c r="E83" s="11"/>
      <c r="F83" s="8" t="str">
        <f>IF(C83="","",IFERROR(INDEX(Lists!$C$2:$C$17,MATCH(C83,Lists!$A$2:$A$17,0)),"?"))</f>
        <v/>
      </c>
    </row>
    <row r="84" spans="1:6" x14ac:dyDescent="0.35">
      <c r="A84" s="10"/>
      <c r="B84" s="9"/>
      <c r="C84" s="9"/>
      <c r="D84" s="9"/>
      <c r="E84" s="11"/>
      <c r="F84" s="8" t="str">
        <f>IF(C84="","",IFERROR(INDEX(Lists!$C$2:$C$17,MATCH(C84,Lists!$A$2:$A$17,0)),"?"))</f>
        <v/>
      </c>
    </row>
    <row r="85" spans="1:6" x14ac:dyDescent="0.35">
      <c r="A85" s="10"/>
      <c r="B85" s="9"/>
      <c r="C85" s="9"/>
      <c r="D85" s="9"/>
      <c r="E85" s="11"/>
      <c r="F85" s="8" t="str">
        <f>IF(C85="","",IFERROR(INDEX(Lists!$C$2:$C$17,MATCH(C85,Lists!$A$2:$A$17,0)),"?"))</f>
        <v/>
      </c>
    </row>
    <row r="86" spans="1:6" x14ac:dyDescent="0.35">
      <c r="A86" s="10"/>
      <c r="B86" s="9"/>
      <c r="C86" s="9"/>
      <c r="D86" s="9"/>
      <c r="E86" s="11"/>
      <c r="F86" s="8" t="str">
        <f>IF(C86="","",IFERROR(INDEX(Lists!$C$2:$C$17,MATCH(C86,Lists!$A$2:$A$17,0)),"?"))</f>
        <v/>
      </c>
    </row>
    <row r="87" spans="1:6" x14ac:dyDescent="0.35">
      <c r="A87" s="10"/>
      <c r="B87" s="9"/>
      <c r="C87" s="9"/>
      <c r="D87" s="9"/>
      <c r="E87" s="11"/>
      <c r="F87" s="8" t="str">
        <f>IF(C87="","",IFERROR(INDEX(Lists!$C$2:$C$17,MATCH(C87,Lists!$A$2:$A$17,0)),"?"))</f>
        <v/>
      </c>
    </row>
    <row r="88" spans="1:6" x14ac:dyDescent="0.35">
      <c r="A88" s="10"/>
      <c r="B88" s="9"/>
      <c r="C88" s="9"/>
      <c r="D88" s="9"/>
      <c r="E88" s="11"/>
      <c r="F88" s="8" t="str">
        <f>IF(C88="","",IFERROR(INDEX(Lists!$C$2:$C$17,MATCH(C88,Lists!$A$2:$A$17,0)),"?"))</f>
        <v/>
      </c>
    </row>
    <row r="89" spans="1:6" x14ac:dyDescent="0.35">
      <c r="A89" s="10"/>
      <c r="B89" s="9"/>
      <c r="C89" s="9"/>
      <c r="D89" s="9"/>
      <c r="E89" s="11"/>
      <c r="F89" s="8" t="str">
        <f>IF(C89="","",IFERROR(INDEX(Lists!$C$2:$C$17,MATCH(C89,Lists!$A$2:$A$17,0)),"?"))</f>
        <v/>
      </c>
    </row>
    <row r="90" spans="1:6" x14ac:dyDescent="0.35">
      <c r="A90" s="10"/>
      <c r="B90" s="9"/>
      <c r="C90" s="9"/>
      <c r="D90" s="9"/>
      <c r="E90" s="11"/>
      <c r="F90" s="8" t="str">
        <f>IF(C90="","",IFERROR(INDEX(Lists!$C$2:$C$17,MATCH(C90,Lists!$A$2:$A$17,0)),"?"))</f>
        <v/>
      </c>
    </row>
    <row r="91" spans="1:6" x14ac:dyDescent="0.35">
      <c r="A91" s="10"/>
      <c r="B91" s="9"/>
      <c r="C91" s="9"/>
      <c r="D91" s="9"/>
      <c r="E91" s="11"/>
      <c r="F91" s="8" t="str">
        <f>IF(C91="","",IFERROR(INDEX(Lists!$C$2:$C$17,MATCH(C91,Lists!$A$2:$A$17,0)),"?"))</f>
        <v/>
      </c>
    </row>
    <row r="92" spans="1:6" x14ac:dyDescent="0.35">
      <c r="A92" s="10"/>
      <c r="B92" s="9"/>
      <c r="C92" s="9"/>
      <c r="D92" s="9"/>
      <c r="E92" s="11"/>
      <c r="F92" s="8" t="str">
        <f>IF(C92="","",IFERROR(INDEX(Lists!$C$2:$C$17,MATCH(C92,Lists!$A$2:$A$17,0)),"?"))</f>
        <v/>
      </c>
    </row>
    <row r="93" spans="1:6" x14ac:dyDescent="0.35">
      <c r="A93" s="10"/>
      <c r="B93" s="9"/>
      <c r="C93" s="9"/>
      <c r="D93" s="9"/>
      <c r="E93" s="11"/>
      <c r="F93" s="8" t="str">
        <f>IF(C93="","",IFERROR(INDEX(Lists!$C$2:$C$17,MATCH(C93,Lists!$A$2:$A$17,0)),"?"))</f>
        <v/>
      </c>
    </row>
    <row r="94" spans="1:6" x14ac:dyDescent="0.35">
      <c r="A94" s="10"/>
      <c r="B94" s="9"/>
      <c r="C94" s="9"/>
      <c r="D94" s="9"/>
      <c r="E94" s="11"/>
      <c r="F94" s="8" t="str">
        <f>IF(C94="","",IFERROR(INDEX(Lists!$C$2:$C$17,MATCH(C94,Lists!$A$2:$A$17,0)),"?"))</f>
        <v/>
      </c>
    </row>
    <row r="95" spans="1:6" x14ac:dyDescent="0.35">
      <c r="A95" s="10"/>
      <c r="B95" s="9"/>
      <c r="C95" s="9"/>
      <c r="D95" s="9"/>
      <c r="E95" s="11"/>
      <c r="F95" s="8" t="str">
        <f>IF(C95="","",IFERROR(INDEX(Lists!$C$2:$C$17,MATCH(C95,Lists!$A$2:$A$17,0)),"?"))</f>
        <v/>
      </c>
    </row>
    <row r="96" spans="1:6" x14ac:dyDescent="0.35">
      <c r="A96" s="10"/>
      <c r="B96" s="9"/>
      <c r="C96" s="9"/>
      <c r="D96" s="9"/>
      <c r="E96" s="11"/>
      <c r="F96" s="8" t="str">
        <f>IF(C96="","",IFERROR(INDEX(Lists!$C$2:$C$17,MATCH(C96,Lists!$A$2:$A$17,0)),"?"))</f>
        <v/>
      </c>
    </row>
    <row r="97" spans="1:6" x14ac:dyDescent="0.35">
      <c r="A97" s="10"/>
      <c r="B97" s="9"/>
      <c r="C97" s="9"/>
      <c r="D97" s="9"/>
      <c r="E97" s="11"/>
      <c r="F97" s="8" t="str">
        <f>IF(C97="","",IFERROR(INDEX(Lists!$C$2:$C$17,MATCH(C97,Lists!$A$2:$A$17,0)),"?"))</f>
        <v/>
      </c>
    </row>
    <row r="98" spans="1:6" x14ac:dyDescent="0.35">
      <c r="A98" s="10"/>
      <c r="B98" s="9"/>
      <c r="C98" s="9"/>
      <c r="D98" s="9"/>
      <c r="E98" s="11"/>
      <c r="F98" s="8" t="str">
        <f>IF(C98="","",IFERROR(INDEX(Lists!$C$2:$C$17,MATCH(C98,Lists!$A$2:$A$17,0)),"?"))</f>
        <v/>
      </c>
    </row>
    <row r="99" spans="1:6" x14ac:dyDescent="0.35">
      <c r="A99" s="10"/>
      <c r="B99" s="9"/>
      <c r="C99" s="9"/>
      <c r="D99" s="9"/>
      <c r="E99" s="11"/>
      <c r="F99" s="8" t="str">
        <f>IF(C99="","",IFERROR(INDEX(Lists!$C$2:$C$17,MATCH(C99,Lists!$A$2:$A$17,0)),"?"))</f>
        <v/>
      </c>
    </row>
    <row r="100" spans="1:6" x14ac:dyDescent="0.35">
      <c r="A100" s="10"/>
      <c r="B100" s="9"/>
      <c r="C100" s="9"/>
      <c r="D100" s="9"/>
      <c r="E100" s="11"/>
      <c r="F100" s="8" t="str">
        <f>IF(C100="","",IFERROR(INDEX(Lists!$C$2:$C$17,MATCH(C100,Lists!$A$2:$A$17,0)),"?"))</f>
        <v/>
      </c>
    </row>
    <row r="101" spans="1:6" x14ac:dyDescent="0.35">
      <c r="A101" s="10"/>
      <c r="B101" s="9"/>
      <c r="C101" s="9"/>
      <c r="D101" s="9"/>
      <c r="E101" s="11"/>
      <c r="F101" s="8" t="str">
        <f>IF(C101="","",IFERROR(INDEX(Lists!$C$2:$C$17,MATCH(C101,Lists!$A$2:$A$17,0)),"?"))</f>
        <v/>
      </c>
    </row>
    <row r="102" spans="1:6" x14ac:dyDescent="0.35">
      <c r="A102" s="10"/>
      <c r="B102" s="9"/>
      <c r="C102" s="9"/>
      <c r="D102" s="9"/>
      <c r="E102" s="11"/>
      <c r="F102" s="8" t="str">
        <f>IF(C102="","",IFERROR(INDEX(Lists!$C$2:$C$17,MATCH(C102,Lists!$A$2:$A$17,0)),"?"))</f>
        <v/>
      </c>
    </row>
    <row r="103" spans="1:6" x14ac:dyDescent="0.35">
      <c r="A103" s="10"/>
      <c r="B103" s="9"/>
      <c r="C103" s="9"/>
      <c r="D103" s="9"/>
      <c r="E103" s="11"/>
      <c r="F103" s="8" t="str">
        <f>IF(C103="","",IFERROR(INDEX(Lists!$C$2:$C$17,MATCH(C103,Lists!$A$2:$A$17,0)),"?"))</f>
        <v/>
      </c>
    </row>
    <row r="104" spans="1:6" x14ac:dyDescent="0.35">
      <c r="A104" s="10"/>
      <c r="B104" s="9"/>
      <c r="C104" s="9"/>
      <c r="D104" s="9"/>
      <c r="E104" s="11"/>
      <c r="F104" s="8" t="str">
        <f>IF(C104="","",IFERROR(INDEX(Lists!$C$2:$C$17,MATCH(C104,Lists!$A$2:$A$17,0)),"?"))</f>
        <v/>
      </c>
    </row>
    <row r="105" spans="1:6" x14ac:dyDescent="0.35">
      <c r="A105" s="10"/>
      <c r="B105" s="9"/>
      <c r="C105" s="9"/>
      <c r="D105" s="9"/>
      <c r="E105" s="11"/>
      <c r="F105" s="8" t="str">
        <f>IF(C105="","",IFERROR(INDEX(Lists!$C$2:$C$17,MATCH(C105,Lists!$A$2:$A$17,0)),"?"))</f>
        <v/>
      </c>
    </row>
    <row r="106" spans="1:6" x14ac:dyDescent="0.35">
      <c r="A106" s="10"/>
      <c r="B106" s="9"/>
      <c r="C106" s="9"/>
      <c r="D106" s="9"/>
      <c r="E106" s="11"/>
      <c r="F106" s="8" t="str">
        <f>IF(C106="","",IFERROR(INDEX(Lists!$C$2:$C$17,MATCH(C106,Lists!$A$2:$A$17,0)),"?"))</f>
        <v/>
      </c>
    </row>
    <row r="107" spans="1:6" x14ac:dyDescent="0.35">
      <c r="A107" s="10"/>
      <c r="B107" s="9"/>
      <c r="C107" s="9"/>
      <c r="D107" s="9"/>
      <c r="E107" s="11"/>
      <c r="F107" s="8" t="str">
        <f>IF(C107="","",IFERROR(INDEX(Lists!$C$2:$C$17,MATCH(C107,Lists!$A$2:$A$17,0)),"?"))</f>
        <v/>
      </c>
    </row>
    <row r="108" spans="1:6" x14ac:dyDescent="0.35">
      <c r="A108" s="10"/>
      <c r="B108" s="9"/>
      <c r="C108" s="9"/>
      <c r="D108" s="9"/>
      <c r="E108" s="11"/>
      <c r="F108" s="8" t="str">
        <f>IF(C108="","",IFERROR(INDEX(Lists!$C$2:$C$17,MATCH(C108,Lists!$A$2:$A$17,0)),"?"))</f>
        <v/>
      </c>
    </row>
    <row r="109" spans="1:6" x14ac:dyDescent="0.35">
      <c r="A109" s="10"/>
      <c r="B109" s="9"/>
      <c r="C109" s="9"/>
      <c r="D109" s="9"/>
      <c r="E109" s="11"/>
      <c r="F109" s="8" t="str">
        <f>IF(C109="","",IFERROR(INDEX(Lists!$C$2:$C$17,MATCH(C109,Lists!$A$2:$A$17,0)),"?"))</f>
        <v/>
      </c>
    </row>
    <row r="110" spans="1:6" x14ac:dyDescent="0.35">
      <c r="A110" s="10"/>
      <c r="B110" s="9"/>
      <c r="C110" s="9"/>
      <c r="D110" s="9"/>
      <c r="E110" s="11"/>
      <c r="F110" s="8" t="str">
        <f>IF(C110="","",IFERROR(INDEX(Lists!$C$2:$C$17,MATCH(C110,Lists!$A$2:$A$17,0)),"?"))</f>
        <v/>
      </c>
    </row>
    <row r="111" spans="1:6" x14ac:dyDescent="0.35">
      <c r="A111" s="10"/>
      <c r="B111" s="9"/>
      <c r="C111" s="9"/>
      <c r="D111" s="9"/>
      <c r="E111" s="11"/>
      <c r="F111" s="8" t="str">
        <f>IF(C111="","",IFERROR(INDEX(Lists!$C$2:$C$17,MATCH(C111,Lists!$A$2:$A$17,0)),"?"))</f>
        <v/>
      </c>
    </row>
    <row r="112" spans="1:6" x14ac:dyDescent="0.35">
      <c r="A112" s="10"/>
      <c r="B112" s="9"/>
      <c r="C112" s="9"/>
      <c r="D112" s="9"/>
      <c r="E112" s="11"/>
      <c r="F112" s="8" t="str">
        <f>IF(C112="","",IFERROR(INDEX(Lists!$C$2:$C$17,MATCH(C112,Lists!$A$2:$A$17,0)),"?"))</f>
        <v/>
      </c>
    </row>
    <row r="113" spans="1:6" x14ac:dyDescent="0.35">
      <c r="A113" s="10"/>
      <c r="B113" s="9"/>
      <c r="C113" s="9"/>
      <c r="D113" s="9"/>
      <c r="E113" s="11"/>
      <c r="F113" s="8" t="str">
        <f>IF(C113="","",IFERROR(INDEX(Lists!$C$2:$C$17,MATCH(C113,Lists!$A$2:$A$17,0)),"?"))</f>
        <v/>
      </c>
    </row>
    <row r="114" spans="1:6" x14ac:dyDescent="0.35">
      <c r="A114" s="10"/>
      <c r="B114" s="9"/>
      <c r="C114" s="9"/>
      <c r="D114" s="9"/>
      <c r="E114" s="11"/>
      <c r="F114" s="8" t="str">
        <f>IF(C114="","",IFERROR(INDEX(Lists!$C$2:$C$17,MATCH(C114,Lists!$A$2:$A$17,0)),"?"))</f>
        <v/>
      </c>
    </row>
    <row r="115" spans="1:6" x14ac:dyDescent="0.35">
      <c r="A115" s="10"/>
      <c r="B115" s="9"/>
      <c r="C115" s="9"/>
      <c r="D115" s="9"/>
      <c r="E115" s="11"/>
      <c r="F115" s="8" t="str">
        <f>IF(C115="","",IFERROR(INDEX(Lists!$C$2:$C$17,MATCH(C115,Lists!$A$2:$A$17,0)),"?"))</f>
        <v/>
      </c>
    </row>
    <row r="116" spans="1:6" x14ac:dyDescent="0.35">
      <c r="A116" s="10"/>
      <c r="B116" s="9"/>
      <c r="C116" s="9"/>
      <c r="D116" s="9"/>
      <c r="E116" s="11"/>
      <c r="F116" s="8" t="str">
        <f>IF(C116="","",IFERROR(INDEX(Lists!$C$2:$C$17,MATCH(C116,Lists!$A$2:$A$17,0)),"?"))</f>
        <v/>
      </c>
    </row>
    <row r="117" spans="1:6" x14ac:dyDescent="0.35">
      <c r="A117" s="10"/>
      <c r="B117" s="9"/>
      <c r="C117" s="9"/>
      <c r="D117" s="9"/>
      <c r="E117" s="11"/>
      <c r="F117" s="8" t="str">
        <f>IF(C117="","",IFERROR(INDEX(Lists!$C$2:$C$17,MATCH(C117,Lists!$A$2:$A$17,0)),"?"))</f>
        <v/>
      </c>
    </row>
    <row r="118" spans="1:6" x14ac:dyDescent="0.35">
      <c r="A118" s="10"/>
      <c r="B118" s="9"/>
      <c r="C118" s="9"/>
      <c r="D118" s="9"/>
      <c r="E118" s="11"/>
      <c r="F118" s="8" t="str">
        <f>IF(C118="","",IFERROR(INDEX(Lists!$C$2:$C$17,MATCH(C118,Lists!$A$2:$A$17,0)),"?"))</f>
        <v/>
      </c>
    </row>
    <row r="119" spans="1:6" x14ac:dyDescent="0.35">
      <c r="A119" s="10"/>
      <c r="B119" s="9"/>
      <c r="C119" s="9"/>
      <c r="D119" s="9"/>
      <c r="E119" s="11"/>
      <c r="F119" s="8" t="str">
        <f>IF(C119="","",IFERROR(INDEX(Lists!$C$2:$C$17,MATCH(C119,Lists!$A$2:$A$17,0)),"?"))</f>
        <v/>
      </c>
    </row>
    <row r="120" spans="1:6" x14ac:dyDescent="0.35">
      <c r="A120" s="10"/>
      <c r="B120" s="9"/>
      <c r="C120" s="9"/>
      <c r="D120" s="9"/>
      <c r="E120" s="11"/>
      <c r="F120" s="8" t="str">
        <f>IF(C120="","",IFERROR(INDEX(Lists!$C$2:$C$17,MATCH(C120,Lists!$A$2:$A$17,0)),"?"))</f>
        <v/>
      </c>
    </row>
    <row r="121" spans="1:6" x14ac:dyDescent="0.35">
      <c r="A121" s="10"/>
      <c r="B121" s="9"/>
      <c r="C121" s="9"/>
      <c r="D121" s="9"/>
      <c r="E121" s="11"/>
      <c r="F121" s="8" t="str">
        <f>IF(C121="","",IFERROR(INDEX(Lists!$C$2:$C$17,MATCH(C121,Lists!$A$2:$A$17,0)),"?"))</f>
        <v/>
      </c>
    </row>
    <row r="122" spans="1:6" x14ac:dyDescent="0.35">
      <c r="A122" s="10"/>
      <c r="B122" s="9"/>
      <c r="C122" s="9"/>
      <c r="D122" s="9"/>
      <c r="E122" s="11"/>
      <c r="F122" s="8" t="str">
        <f>IF(C122="","",IFERROR(INDEX(Lists!$C$2:$C$17,MATCH(C122,Lists!$A$2:$A$17,0)),"?"))</f>
        <v/>
      </c>
    </row>
    <row r="123" spans="1:6" x14ac:dyDescent="0.35">
      <c r="A123" s="10"/>
      <c r="B123" s="9"/>
      <c r="C123" s="9"/>
      <c r="D123" s="9"/>
      <c r="E123" s="11"/>
      <c r="F123" s="8" t="str">
        <f>IF(C123="","",IFERROR(INDEX(Lists!$C$2:$C$17,MATCH(C123,Lists!$A$2:$A$17,0)),"?"))</f>
        <v/>
      </c>
    </row>
    <row r="124" spans="1:6" x14ac:dyDescent="0.35">
      <c r="A124" s="10"/>
      <c r="B124" s="9"/>
      <c r="C124" s="9"/>
      <c r="D124" s="9"/>
      <c r="E124" s="11"/>
      <c r="F124" s="8" t="str">
        <f>IF(C124="","",IFERROR(INDEX(Lists!$C$2:$C$17,MATCH(C124,Lists!$A$2:$A$17,0)),"?"))</f>
        <v/>
      </c>
    </row>
    <row r="125" spans="1:6" x14ac:dyDescent="0.35">
      <c r="A125" s="10"/>
      <c r="B125" s="9"/>
      <c r="C125" s="9"/>
      <c r="D125" s="9"/>
      <c r="E125" s="11"/>
      <c r="F125" s="8" t="str">
        <f>IF(C125="","",IFERROR(INDEX(Lists!$C$2:$C$17,MATCH(C125,Lists!$A$2:$A$17,0)),"?"))</f>
        <v/>
      </c>
    </row>
    <row r="126" spans="1:6" x14ac:dyDescent="0.35">
      <c r="A126" s="10"/>
      <c r="B126" s="9"/>
      <c r="C126" s="9"/>
      <c r="D126" s="9"/>
      <c r="E126" s="11"/>
      <c r="F126" s="8" t="str">
        <f>IF(C126="","",IFERROR(INDEX(Lists!$C$2:$C$17,MATCH(C126,Lists!$A$2:$A$17,0)),"?"))</f>
        <v/>
      </c>
    </row>
    <row r="127" spans="1:6" x14ac:dyDescent="0.35">
      <c r="A127" s="10"/>
      <c r="B127" s="9"/>
      <c r="C127" s="9"/>
      <c r="D127" s="9"/>
      <c r="E127" s="11"/>
      <c r="F127" s="8" t="str">
        <f>IF(C127="","",IFERROR(INDEX(Lists!$C$2:$C$17,MATCH(C127,Lists!$A$2:$A$17,0)),"?"))</f>
        <v/>
      </c>
    </row>
    <row r="128" spans="1:6" x14ac:dyDescent="0.35">
      <c r="A128" s="10"/>
      <c r="B128" s="9"/>
      <c r="C128" s="9"/>
      <c r="D128" s="9"/>
      <c r="E128" s="11"/>
      <c r="F128" s="8" t="str">
        <f>IF(C128="","",IFERROR(INDEX(Lists!$C$2:$C$17,MATCH(C128,Lists!$A$2:$A$17,0)),"?"))</f>
        <v/>
      </c>
    </row>
    <row r="129" spans="1:6" x14ac:dyDescent="0.35">
      <c r="A129" s="10"/>
      <c r="B129" s="9"/>
      <c r="C129" s="9"/>
      <c r="D129" s="9"/>
      <c r="E129" s="11"/>
      <c r="F129" s="8" t="str">
        <f>IF(C129="","",IFERROR(INDEX(Lists!$C$2:$C$17,MATCH(C129,Lists!$A$2:$A$17,0)),"?"))</f>
        <v/>
      </c>
    </row>
    <row r="130" spans="1:6" x14ac:dyDescent="0.35">
      <c r="A130" s="10"/>
      <c r="B130" s="9"/>
      <c r="C130" s="9"/>
      <c r="D130" s="9"/>
      <c r="E130" s="11"/>
      <c r="F130" s="8" t="str">
        <f>IF(C130="","",IFERROR(INDEX(Lists!$C$2:$C$17,MATCH(C130,Lists!$A$2:$A$17,0)),"?"))</f>
        <v/>
      </c>
    </row>
    <row r="131" spans="1:6" x14ac:dyDescent="0.35">
      <c r="A131" s="10"/>
      <c r="B131" s="9"/>
      <c r="C131" s="9"/>
      <c r="D131" s="9"/>
      <c r="E131" s="11"/>
      <c r="F131" s="8" t="str">
        <f>IF(C131="","",IFERROR(INDEX(Lists!$C$2:$C$17,MATCH(C131,Lists!$A$2:$A$17,0)),"?"))</f>
        <v/>
      </c>
    </row>
    <row r="132" spans="1:6" x14ac:dyDescent="0.35">
      <c r="A132" s="10"/>
      <c r="B132" s="9"/>
      <c r="C132" s="9"/>
      <c r="D132" s="9"/>
      <c r="E132" s="11"/>
      <c r="F132" s="8" t="str">
        <f>IF(C132="","",IFERROR(INDEX(Lists!$C$2:$C$17,MATCH(C132,Lists!$A$2:$A$17,0)),"?"))</f>
        <v/>
      </c>
    </row>
    <row r="133" spans="1:6" x14ac:dyDescent="0.35">
      <c r="A133" s="10"/>
      <c r="B133" s="9"/>
      <c r="C133" s="9"/>
      <c r="D133" s="9"/>
      <c r="E133" s="11"/>
      <c r="F133" s="8" t="str">
        <f>IF(C133="","",IFERROR(INDEX(Lists!$C$2:$C$17,MATCH(C133,Lists!$A$2:$A$17,0)),"?"))</f>
        <v/>
      </c>
    </row>
    <row r="134" spans="1:6" x14ac:dyDescent="0.35">
      <c r="A134" s="10"/>
      <c r="B134" s="9"/>
      <c r="C134" s="9"/>
      <c r="D134" s="9"/>
      <c r="E134" s="11"/>
      <c r="F134" s="8" t="str">
        <f>IF(C134="","",IFERROR(INDEX(Lists!$C$2:$C$17,MATCH(C134,Lists!$A$2:$A$17,0)),"?"))</f>
        <v/>
      </c>
    </row>
    <row r="135" spans="1:6" x14ac:dyDescent="0.35">
      <c r="A135" s="10"/>
      <c r="B135" s="9"/>
      <c r="C135" s="9"/>
      <c r="D135" s="9"/>
      <c r="E135" s="11"/>
      <c r="F135" s="8" t="str">
        <f>IF(C135="","",IFERROR(INDEX(Lists!$C$2:$C$17,MATCH(C135,Lists!$A$2:$A$17,0)),"?"))</f>
        <v/>
      </c>
    </row>
    <row r="136" spans="1:6" x14ac:dyDescent="0.35">
      <c r="A136" s="10"/>
      <c r="B136" s="9"/>
      <c r="C136" s="9"/>
      <c r="D136" s="9"/>
      <c r="E136" s="11"/>
      <c r="F136" s="8" t="str">
        <f>IF(C136="","",IFERROR(INDEX(Lists!$C$2:$C$17,MATCH(C136,Lists!$A$2:$A$17,0)),"?"))</f>
        <v/>
      </c>
    </row>
    <row r="137" spans="1:6" x14ac:dyDescent="0.35">
      <c r="A137" s="10"/>
      <c r="B137" s="9"/>
      <c r="C137" s="9"/>
      <c r="D137" s="9"/>
      <c r="E137" s="11"/>
      <c r="F137" s="8" t="str">
        <f>IF(C137="","",IFERROR(INDEX(Lists!$C$2:$C$17,MATCH(C137,Lists!$A$2:$A$17,0)),"?"))</f>
        <v/>
      </c>
    </row>
    <row r="138" spans="1:6" x14ac:dyDescent="0.35">
      <c r="A138" s="10"/>
      <c r="B138" s="9"/>
      <c r="C138" s="9"/>
      <c r="D138" s="9"/>
      <c r="E138" s="11"/>
      <c r="F138" s="8" t="str">
        <f>IF(C138="","",IFERROR(INDEX(Lists!$C$2:$C$17,MATCH(C138,Lists!$A$2:$A$17,0)),"?"))</f>
        <v/>
      </c>
    </row>
    <row r="139" spans="1:6" x14ac:dyDescent="0.35">
      <c r="A139" s="10"/>
      <c r="B139" s="9"/>
      <c r="C139" s="9"/>
      <c r="D139" s="9"/>
      <c r="E139" s="11"/>
      <c r="F139" s="8" t="str">
        <f>IF(C139="","",IFERROR(INDEX(Lists!$C$2:$C$17,MATCH(C139,Lists!$A$2:$A$17,0)),"?"))</f>
        <v/>
      </c>
    </row>
    <row r="140" spans="1:6" x14ac:dyDescent="0.35">
      <c r="A140" s="10"/>
      <c r="B140" s="9"/>
      <c r="C140" s="9"/>
      <c r="D140" s="9"/>
      <c r="E140" s="11"/>
      <c r="F140" s="8" t="str">
        <f>IF(C140="","",IFERROR(INDEX(Lists!$C$2:$C$17,MATCH(C140,Lists!$A$2:$A$17,0)),"?"))</f>
        <v/>
      </c>
    </row>
    <row r="141" spans="1:6" x14ac:dyDescent="0.35">
      <c r="A141" s="10"/>
      <c r="B141" s="9"/>
      <c r="C141" s="9"/>
      <c r="D141" s="9"/>
      <c r="E141" s="11"/>
      <c r="F141" s="8" t="str">
        <f>IF(C141="","",IFERROR(INDEX(Lists!$C$2:$C$17,MATCH(C141,Lists!$A$2:$A$17,0)),"?"))</f>
        <v/>
      </c>
    </row>
    <row r="142" spans="1:6" x14ac:dyDescent="0.35">
      <c r="A142" s="10"/>
      <c r="B142" s="9"/>
      <c r="C142" s="9"/>
      <c r="D142" s="9"/>
      <c r="E142" s="11"/>
      <c r="F142" s="8" t="str">
        <f>IF(C142="","",IFERROR(INDEX(Lists!$C$2:$C$17,MATCH(C142,Lists!$A$2:$A$17,0)),"?"))</f>
        <v/>
      </c>
    </row>
    <row r="143" spans="1:6" x14ac:dyDescent="0.35">
      <c r="A143" s="10"/>
      <c r="B143" s="9"/>
      <c r="C143" s="9"/>
      <c r="D143" s="9"/>
      <c r="E143" s="11"/>
      <c r="F143" s="8" t="str">
        <f>IF(C143="","",IFERROR(INDEX(Lists!$C$2:$C$17,MATCH(C143,Lists!$A$2:$A$17,0)),"?"))</f>
        <v/>
      </c>
    </row>
    <row r="144" spans="1:6" x14ac:dyDescent="0.35">
      <c r="A144" s="10"/>
      <c r="B144" s="9"/>
      <c r="C144" s="9"/>
      <c r="D144" s="9"/>
      <c r="E144" s="11"/>
      <c r="F144" s="8" t="str">
        <f>IF(C144="","",IFERROR(INDEX(Lists!$C$2:$C$17,MATCH(C144,Lists!$A$2:$A$17,0)),"?"))</f>
        <v/>
      </c>
    </row>
    <row r="145" spans="1:6" x14ac:dyDescent="0.35">
      <c r="A145" s="10"/>
      <c r="B145" s="9"/>
      <c r="C145" s="9"/>
      <c r="D145" s="9"/>
      <c r="E145" s="11"/>
      <c r="F145" s="8" t="str">
        <f>IF(C145="","",IFERROR(INDEX(Lists!$C$2:$C$17,MATCH(C145,Lists!$A$2:$A$17,0)),"?"))</f>
        <v/>
      </c>
    </row>
    <row r="146" spans="1:6" x14ac:dyDescent="0.35">
      <c r="A146" s="10"/>
      <c r="B146" s="9"/>
      <c r="C146" s="9"/>
      <c r="D146" s="9"/>
      <c r="E146" s="11"/>
      <c r="F146" s="8" t="str">
        <f>IF(C146="","",IFERROR(INDEX(Lists!$C$2:$C$17,MATCH(C146,Lists!$A$2:$A$17,0)),"?"))</f>
        <v/>
      </c>
    </row>
    <row r="147" spans="1:6" x14ac:dyDescent="0.35">
      <c r="A147" s="10"/>
      <c r="B147" s="9"/>
      <c r="C147" s="9"/>
      <c r="D147" s="9"/>
      <c r="E147" s="11"/>
      <c r="F147" s="8" t="str">
        <f>IF(C147="","",IFERROR(INDEX(Lists!$C$2:$C$17,MATCH(C147,Lists!$A$2:$A$17,0)),"?"))</f>
        <v/>
      </c>
    </row>
    <row r="148" spans="1:6" x14ac:dyDescent="0.35">
      <c r="A148" s="10"/>
      <c r="B148" s="9"/>
      <c r="C148" s="9"/>
      <c r="D148" s="9"/>
      <c r="E148" s="11"/>
      <c r="F148" s="8" t="str">
        <f>IF(C148="","",IFERROR(INDEX(Lists!$C$2:$C$17,MATCH(C148,Lists!$A$2:$A$17,0)),"?"))</f>
        <v/>
      </c>
    </row>
    <row r="149" spans="1:6" x14ac:dyDescent="0.35">
      <c r="A149" s="10"/>
      <c r="B149" s="9"/>
      <c r="C149" s="9"/>
      <c r="D149" s="9"/>
      <c r="E149" s="11"/>
      <c r="F149" s="8" t="str">
        <f>IF(C149="","",IFERROR(INDEX(Lists!$C$2:$C$17,MATCH(C149,Lists!$A$2:$A$17,0)),"?"))</f>
        <v/>
      </c>
    </row>
    <row r="150" spans="1:6" x14ac:dyDescent="0.35">
      <c r="A150" s="10"/>
      <c r="B150" s="9"/>
      <c r="C150" s="9"/>
      <c r="D150" s="9"/>
      <c r="E150" s="11"/>
      <c r="F150" s="8" t="str">
        <f>IF(C150="","",IFERROR(INDEX(Lists!$C$2:$C$17,MATCH(C150,Lists!$A$2:$A$17,0)),"?"))</f>
        <v/>
      </c>
    </row>
    <row r="151" spans="1:6" x14ac:dyDescent="0.35">
      <c r="A151" s="10"/>
      <c r="B151" s="9"/>
      <c r="C151" s="9"/>
      <c r="D151" s="9"/>
      <c r="E151" s="11"/>
      <c r="F151" s="8" t="str">
        <f>IF(C151="","",IFERROR(INDEX(Lists!$C$2:$C$17,MATCH(C151,Lists!$A$2:$A$17,0)),"?"))</f>
        <v/>
      </c>
    </row>
    <row r="152" spans="1:6" x14ac:dyDescent="0.35">
      <c r="A152" s="10"/>
      <c r="B152" s="9"/>
      <c r="C152" s="9"/>
      <c r="D152" s="9"/>
      <c r="E152" s="11"/>
      <c r="F152" s="8" t="str">
        <f>IF(C152="","",IFERROR(INDEX(Lists!$C$2:$C$17,MATCH(C152,Lists!$A$2:$A$17,0)),"?"))</f>
        <v/>
      </c>
    </row>
    <row r="153" spans="1:6" x14ac:dyDescent="0.35">
      <c r="A153" s="10"/>
      <c r="B153" s="9"/>
      <c r="C153" s="9"/>
      <c r="D153" s="9"/>
      <c r="E153" s="11"/>
      <c r="F153" s="8" t="str">
        <f>IF(C153="","",IFERROR(INDEX(Lists!$C$2:$C$17,MATCH(C153,Lists!$A$2:$A$17,0)),"?"))</f>
        <v/>
      </c>
    </row>
    <row r="154" spans="1:6" x14ac:dyDescent="0.35">
      <c r="A154" s="10"/>
      <c r="B154" s="9"/>
      <c r="C154" s="9"/>
      <c r="D154" s="9"/>
      <c r="E154" s="11"/>
      <c r="F154" s="8" t="str">
        <f>IF(C154="","",IFERROR(INDEX(Lists!$C$2:$C$17,MATCH(C154,Lists!$A$2:$A$17,0)),"?"))</f>
        <v/>
      </c>
    </row>
    <row r="155" spans="1:6" x14ac:dyDescent="0.35">
      <c r="A155" s="10"/>
      <c r="B155" s="9"/>
      <c r="C155" s="9"/>
      <c r="D155" s="9"/>
      <c r="E155" s="11"/>
      <c r="F155" s="8" t="str">
        <f>IF(C155="","",IFERROR(INDEX(Lists!$C$2:$C$17,MATCH(C155,Lists!$A$2:$A$17,0)),"?"))</f>
        <v/>
      </c>
    </row>
    <row r="156" spans="1:6" x14ac:dyDescent="0.35">
      <c r="A156" s="10"/>
      <c r="B156" s="9"/>
      <c r="C156" s="9"/>
      <c r="D156" s="9"/>
      <c r="E156" s="11"/>
      <c r="F156" s="8" t="str">
        <f>IF(C156="","",IFERROR(INDEX(Lists!$C$2:$C$17,MATCH(C156,Lists!$A$2:$A$17,0)),"?"))</f>
        <v/>
      </c>
    </row>
    <row r="157" spans="1:6" x14ac:dyDescent="0.35">
      <c r="A157" s="10"/>
      <c r="B157" s="9"/>
      <c r="C157" s="9"/>
      <c r="D157" s="9"/>
      <c r="E157" s="11"/>
      <c r="F157" s="8" t="str">
        <f>IF(C157="","",IFERROR(INDEX(Lists!$C$2:$C$17,MATCH(C157,Lists!$A$2:$A$17,0)),"?"))</f>
        <v/>
      </c>
    </row>
    <row r="158" spans="1:6" x14ac:dyDescent="0.35">
      <c r="A158" s="10"/>
      <c r="B158" s="9"/>
      <c r="C158" s="9"/>
      <c r="D158" s="9"/>
      <c r="E158" s="11"/>
      <c r="F158" s="8" t="str">
        <f>IF(C158="","",IFERROR(INDEX(Lists!$C$2:$C$17,MATCH(C158,Lists!$A$2:$A$17,0)),"?"))</f>
        <v/>
      </c>
    </row>
    <row r="159" spans="1:6" x14ac:dyDescent="0.35">
      <c r="A159" s="10"/>
      <c r="B159" s="9"/>
      <c r="C159" s="9"/>
      <c r="D159" s="9"/>
      <c r="E159" s="11"/>
      <c r="F159" s="8" t="str">
        <f>IF(C159="","",IFERROR(INDEX(Lists!$C$2:$C$17,MATCH(C159,Lists!$A$2:$A$17,0)),"?"))</f>
        <v/>
      </c>
    </row>
    <row r="160" spans="1:6" x14ac:dyDescent="0.35">
      <c r="A160" s="10"/>
      <c r="B160" s="9"/>
      <c r="C160" s="9"/>
      <c r="D160" s="9"/>
      <c r="E160" s="11"/>
      <c r="F160" s="8" t="str">
        <f>IF(C160="","",IFERROR(INDEX(Lists!$C$2:$C$17,MATCH(C160,Lists!$A$2:$A$17,0)),"?"))</f>
        <v/>
      </c>
    </row>
    <row r="161" spans="1:6" x14ac:dyDescent="0.35">
      <c r="A161" s="10"/>
      <c r="B161" s="9"/>
      <c r="C161" s="9"/>
      <c r="D161" s="9"/>
      <c r="E161" s="11"/>
      <c r="F161" s="8" t="str">
        <f>IF(C161="","",IFERROR(INDEX(Lists!$C$2:$C$17,MATCH(C161,Lists!$A$2:$A$17,0)),"?"))</f>
        <v/>
      </c>
    </row>
    <row r="162" spans="1:6" x14ac:dyDescent="0.35">
      <c r="A162" s="10"/>
      <c r="B162" s="9"/>
      <c r="C162" s="9"/>
      <c r="D162" s="9"/>
      <c r="E162" s="11"/>
      <c r="F162" s="8" t="str">
        <f>IF(C162="","",IFERROR(INDEX(Lists!$C$2:$C$17,MATCH(C162,Lists!$A$2:$A$17,0)),"?"))</f>
        <v/>
      </c>
    </row>
    <row r="163" spans="1:6" x14ac:dyDescent="0.35">
      <c r="A163" s="10"/>
      <c r="B163" s="9"/>
      <c r="C163" s="9"/>
      <c r="D163" s="9"/>
      <c r="E163" s="11"/>
      <c r="F163" s="8" t="str">
        <f>IF(C163="","",IFERROR(INDEX(Lists!$C$2:$C$17,MATCH(C163,Lists!$A$2:$A$17,0)),"?"))</f>
        <v/>
      </c>
    </row>
    <row r="164" spans="1:6" x14ac:dyDescent="0.35">
      <c r="A164" s="10"/>
      <c r="B164" s="9"/>
      <c r="C164" s="9"/>
      <c r="D164" s="9"/>
      <c r="E164" s="11"/>
      <c r="F164" s="8" t="str">
        <f>IF(C164="","",IFERROR(INDEX(Lists!$C$2:$C$17,MATCH(C164,Lists!$A$2:$A$17,0)),"?"))</f>
        <v/>
      </c>
    </row>
    <row r="165" spans="1:6" x14ac:dyDescent="0.35">
      <c r="A165" s="10"/>
      <c r="B165" s="9"/>
      <c r="C165" s="9"/>
      <c r="D165" s="9"/>
      <c r="E165" s="11"/>
      <c r="F165" s="8" t="str">
        <f>IF(C165="","",IFERROR(INDEX(Lists!$C$2:$C$17,MATCH(C165,Lists!$A$2:$A$17,0)),"?"))</f>
        <v/>
      </c>
    </row>
    <row r="166" spans="1:6" x14ac:dyDescent="0.35">
      <c r="A166" s="10"/>
      <c r="B166" s="9"/>
      <c r="C166" s="9"/>
      <c r="D166" s="9"/>
      <c r="E166" s="11"/>
      <c r="F166" s="8" t="str">
        <f>IF(C166="","",IFERROR(INDEX(Lists!$C$2:$C$17,MATCH(C166,Lists!$A$2:$A$17,0)),"?"))</f>
        <v/>
      </c>
    </row>
    <row r="167" spans="1:6" x14ac:dyDescent="0.35">
      <c r="A167" s="10"/>
      <c r="B167" s="9"/>
      <c r="C167" s="9"/>
      <c r="D167" s="9"/>
      <c r="E167" s="11"/>
      <c r="F167" s="8" t="str">
        <f>IF(C167="","",IFERROR(INDEX(Lists!$C$2:$C$17,MATCH(C167,Lists!$A$2:$A$17,0)),"?"))</f>
        <v/>
      </c>
    </row>
    <row r="168" spans="1:6" x14ac:dyDescent="0.35">
      <c r="A168" s="10"/>
      <c r="B168" s="9"/>
      <c r="C168" s="9"/>
      <c r="D168" s="9"/>
      <c r="E168" s="11"/>
      <c r="F168" s="8" t="str">
        <f>IF(C168="","",IFERROR(INDEX(Lists!$C$2:$C$17,MATCH(C168,Lists!$A$2:$A$17,0)),"?"))</f>
        <v/>
      </c>
    </row>
    <row r="169" spans="1:6" x14ac:dyDescent="0.35">
      <c r="A169" s="10"/>
      <c r="B169" s="9"/>
      <c r="C169" s="9"/>
      <c r="D169" s="9"/>
      <c r="E169" s="11"/>
      <c r="F169" s="8" t="str">
        <f>IF(C169="","",IFERROR(INDEX(Lists!$C$2:$C$17,MATCH(C169,Lists!$A$2:$A$17,0)),"?"))</f>
        <v/>
      </c>
    </row>
    <row r="170" spans="1:6" x14ac:dyDescent="0.35">
      <c r="A170" s="10"/>
      <c r="B170" s="9"/>
      <c r="C170" s="9"/>
      <c r="D170" s="9"/>
      <c r="E170" s="11"/>
      <c r="F170" s="8" t="str">
        <f>IF(C170="","",IFERROR(INDEX(Lists!$C$2:$C$17,MATCH(C170,Lists!$A$2:$A$17,0)),"?"))</f>
        <v/>
      </c>
    </row>
    <row r="171" spans="1:6" x14ac:dyDescent="0.35">
      <c r="A171" s="10"/>
      <c r="B171" s="9"/>
      <c r="C171" s="9"/>
      <c r="D171" s="9"/>
      <c r="E171" s="11"/>
      <c r="F171" s="8" t="str">
        <f>IF(C171="","",IFERROR(INDEX(Lists!$C$2:$C$17,MATCH(C171,Lists!$A$2:$A$17,0)),"?"))</f>
        <v/>
      </c>
    </row>
    <row r="172" spans="1:6" x14ac:dyDescent="0.35">
      <c r="A172" s="10"/>
      <c r="B172" s="9"/>
      <c r="C172" s="9"/>
      <c r="D172" s="9"/>
      <c r="E172" s="11"/>
      <c r="F172" s="8" t="str">
        <f>IF(C172="","",IFERROR(INDEX(Lists!$C$2:$C$17,MATCH(C172,Lists!$A$2:$A$17,0)),"?"))</f>
        <v/>
      </c>
    </row>
    <row r="173" spans="1:6" x14ac:dyDescent="0.35">
      <c r="A173" s="10"/>
      <c r="B173" s="9"/>
      <c r="C173" s="9"/>
      <c r="D173" s="9"/>
      <c r="E173" s="11"/>
      <c r="F173" s="8" t="str">
        <f>IF(C173="","",IFERROR(INDEX(Lists!$C$2:$C$17,MATCH(C173,Lists!$A$2:$A$17,0)),"?"))</f>
        <v/>
      </c>
    </row>
    <row r="174" spans="1:6" x14ac:dyDescent="0.35">
      <c r="A174" s="10"/>
      <c r="B174" s="9"/>
      <c r="C174" s="9"/>
      <c r="D174" s="9"/>
      <c r="E174" s="11"/>
      <c r="F174" s="8" t="str">
        <f>IF(C174="","",IFERROR(INDEX(Lists!$C$2:$C$17,MATCH(C174,Lists!$A$2:$A$17,0)),"?"))</f>
        <v/>
      </c>
    </row>
    <row r="175" spans="1:6" x14ac:dyDescent="0.35">
      <c r="A175" s="10"/>
      <c r="B175" s="9"/>
      <c r="C175" s="9"/>
      <c r="D175" s="9"/>
      <c r="E175" s="11"/>
      <c r="F175" s="8" t="str">
        <f>IF(C175="","",IFERROR(INDEX(Lists!$C$2:$C$17,MATCH(C175,Lists!$A$2:$A$17,0)),"?"))</f>
        <v/>
      </c>
    </row>
    <row r="176" spans="1:6" x14ac:dyDescent="0.35">
      <c r="A176" s="10"/>
      <c r="B176" s="9"/>
      <c r="C176" s="9"/>
      <c r="D176" s="9"/>
      <c r="E176" s="11"/>
      <c r="F176" s="8" t="str">
        <f>IF(C176="","",IFERROR(INDEX(Lists!$C$2:$C$17,MATCH(C176,Lists!$A$2:$A$17,0)),"?"))</f>
        <v/>
      </c>
    </row>
    <row r="177" spans="1:6" x14ac:dyDescent="0.35">
      <c r="A177" s="10"/>
      <c r="B177" s="9"/>
      <c r="C177" s="9"/>
      <c r="D177" s="9"/>
      <c r="E177" s="11"/>
      <c r="F177" s="8" t="str">
        <f>IF(C177="","",IFERROR(INDEX(Lists!$C$2:$C$17,MATCH(C177,Lists!$A$2:$A$17,0)),"?"))</f>
        <v/>
      </c>
    </row>
    <row r="178" spans="1:6" x14ac:dyDescent="0.35">
      <c r="A178" s="10"/>
      <c r="B178" s="9"/>
      <c r="C178" s="9"/>
      <c r="D178" s="9"/>
      <c r="E178" s="11"/>
      <c r="F178" s="8" t="str">
        <f>IF(C178="","",IFERROR(INDEX(Lists!$C$2:$C$17,MATCH(C178,Lists!$A$2:$A$17,0)),"?"))</f>
        <v/>
      </c>
    </row>
    <row r="179" spans="1:6" x14ac:dyDescent="0.35">
      <c r="A179" s="10"/>
      <c r="B179" s="9"/>
      <c r="C179" s="9"/>
      <c r="D179" s="9"/>
      <c r="E179" s="11"/>
      <c r="F179" s="8" t="str">
        <f>IF(C179="","",IFERROR(INDEX(Lists!$C$2:$C$17,MATCH(C179,Lists!$A$2:$A$17,0)),"?"))</f>
        <v/>
      </c>
    </row>
    <row r="180" spans="1:6" x14ac:dyDescent="0.35">
      <c r="A180" s="10"/>
      <c r="B180" s="9"/>
      <c r="C180" s="9"/>
      <c r="D180" s="9"/>
      <c r="E180" s="11"/>
      <c r="F180" s="8" t="str">
        <f>IF(C180="","",IFERROR(INDEX(Lists!$C$2:$C$17,MATCH(C180,Lists!$A$2:$A$17,0)),"?"))</f>
        <v/>
      </c>
    </row>
    <row r="181" spans="1:6" x14ac:dyDescent="0.35">
      <c r="A181" s="10"/>
      <c r="B181" s="9"/>
      <c r="C181" s="9"/>
      <c r="D181" s="9"/>
      <c r="E181" s="11"/>
      <c r="F181" s="8" t="str">
        <f>IF(C181="","",IFERROR(INDEX(Lists!$C$2:$C$17,MATCH(C181,Lists!$A$2:$A$17,0)),"?"))</f>
        <v/>
      </c>
    </row>
    <row r="182" spans="1:6" x14ac:dyDescent="0.35">
      <c r="A182" s="10"/>
      <c r="B182" s="9"/>
      <c r="C182" s="9"/>
      <c r="D182" s="9"/>
      <c r="E182" s="11"/>
      <c r="F182" s="8" t="str">
        <f>IF(C182="","",IFERROR(INDEX(Lists!$C$2:$C$17,MATCH(C182,Lists!$A$2:$A$17,0)),"?"))</f>
        <v/>
      </c>
    </row>
    <row r="183" spans="1:6" x14ac:dyDescent="0.35">
      <c r="A183" s="10"/>
      <c r="B183" s="9"/>
      <c r="C183" s="9"/>
      <c r="D183" s="9"/>
      <c r="E183" s="11"/>
      <c r="F183" s="8" t="str">
        <f>IF(C183="","",IFERROR(INDEX(Lists!$C$2:$C$17,MATCH(C183,Lists!$A$2:$A$17,0)),"?"))</f>
        <v/>
      </c>
    </row>
    <row r="184" spans="1:6" x14ac:dyDescent="0.35">
      <c r="A184" s="10"/>
      <c r="B184" s="9"/>
      <c r="C184" s="9"/>
      <c r="D184" s="9"/>
      <c r="E184" s="11"/>
      <c r="F184" s="8" t="str">
        <f>IF(C184="","",IFERROR(INDEX(Lists!$C$2:$C$17,MATCH(C184,Lists!$A$2:$A$17,0)),"?"))</f>
        <v/>
      </c>
    </row>
    <row r="185" spans="1:6" x14ac:dyDescent="0.35">
      <c r="A185" s="10"/>
      <c r="B185" s="9"/>
      <c r="C185" s="9"/>
      <c r="D185" s="9"/>
      <c r="E185" s="11"/>
      <c r="F185" s="8" t="str">
        <f>IF(C185="","",IFERROR(INDEX(Lists!$C$2:$C$17,MATCH(C185,Lists!$A$2:$A$17,0)),"?"))</f>
        <v/>
      </c>
    </row>
    <row r="186" spans="1:6" x14ac:dyDescent="0.35">
      <c r="A186" s="10"/>
      <c r="B186" s="9"/>
      <c r="C186" s="9"/>
      <c r="D186" s="9"/>
      <c r="E186" s="11"/>
      <c r="F186" s="8" t="str">
        <f>IF(C186="","",IFERROR(INDEX(Lists!$C$2:$C$17,MATCH(C186,Lists!$A$2:$A$17,0)),"?"))</f>
        <v/>
      </c>
    </row>
    <row r="187" spans="1:6" x14ac:dyDescent="0.35">
      <c r="A187" s="10"/>
      <c r="B187" s="9"/>
      <c r="C187" s="9"/>
      <c r="D187" s="9"/>
      <c r="E187" s="11"/>
      <c r="F187" s="8" t="str">
        <f>IF(C187="","",IFERROR(INDEX(Lists!$C$2:$C$17,MATCH(C187,Lists!$A$2:$A$17,0)),"?"))</f>
        <v/>
      </c>
    </row>
    <row r="188" spans="1:6" x14ac:dyDescent="0.35">
      <c r="A188" s="10"/>
      <c r="B188" s="9"/>
      <c r="C188" s="9"/>
      <c r="D188" s="9"/>
      <c r="E188" s="11"/>
      <c r="F188" s="8" t="str">
        <f>IF(C188="","",IFERROR(INDEX(Lists!$C$2:$C$17,MATCH(C188,Lists!$A$2:$A$17,0)),"?"))</f>
        <v/>
      </c>
    </row>
    <row r="189" spans="1:6" x14ac:dyDescent="0.35">
      <c r="A189" s="10"/>
      <c r="B189" s="9"/>
      <c r="C189" s="9"/>
      <c r="D189" s="9"/>
      <c r="E189" s="11"/>
      <c r="F189" s="8" t="str">
        <f>IF(C189="","",IFERROR(INDEX(Lists!$C$2:$C$17,MATCH(C189,Lists!$A$2:$A$17,0)),"?"))</f>
        <v/>
      </c>
    </row>
    <row r="190" spans="1:6" x14ac:dyDescent="0.35">
      <c r="A190" s="10"/>
      <c r="B190" s="9"/>
      <c r="C190" s="9"/>
      <c r="D190" s="9"/>
      <c r="E190" s="11"/>
      <c r="F190" s="8" t="str">
        <f>IF(C190="","",IFERROR(INDEX(Lists!$C$2:$C$17,MATCH(C190,Lists!$A$2:$A$17,0)),"?"))</f>
        <v/>
      </c>
    </row>
    <row r="191" spans="1:6" x14ac:dyDescent="0.35">
      <c r="A191" s="10"/>
      <c r="B191" s="9"/>
      <c r="C191" s="9"/>
      <c r="D191" s="9"/>
      <c r="E191" s="11"/>
      <c r="F191" s="8" t="str">
        <f>IF(C191="","",IFERROR(INDEX(Lists!$C$2:$C$17,MATCH(C191,Lists!$A$2:$A$17,0)),"?"))</f>
        <v/>
      </c>
    </row>
    <row r="192" spans="1:6" x14ac:dyDescent="0.35">
      <c r="A192" s="10"/>
      <c r="B192" s="9"/>
      <c r="C192" s="9"/>
      <c r="D192" s="9"/>
      <c r="E192" s="11"/>
      <c r="F192" s="8" t="str">
        <f>IF(C192="","",IFERROR(INDEX(Lists!$C$2:$C$17,MATCH(C192,Lists!$A$2:$A$17,0)),"?"))</f>
        <v/>
      </c>
    </row>
    <row r="193" spans="1:6" x14ac:dyDescent="0.35">
      <c r="A193" s="10"/>
      <c r="B193" s="9"/>
      <c r="C193" s="9"/>
      <c r="D193" s="9"/>
      <c r="E193" s="11"/>
      <c r="F193" s="8" t="str">
        <f>IF(C193="","",IFERROR(INDEX(Lists!$C$2:$C$17,MATCH(C193,Lists!$A$2:$A$17,0)),"?"))</f>
        <v/>
      </c>
    </row>
    <row r="194" spans="1:6" x14ac:dyDescent="0.35">
      <c r="A194" s="10"/>
      <c r="B194" s="9"/>
      <c r="C194" s="9"/>
      <c r="D194" s="9"/>
      <c r="E194" s="11"/>
      <c r="F194" s="8" t="str">
        <f>IF(C194="","",IFERROR(INDEX(Lists!$C$2:$C$17,MATCH(C194,Lists!$A$2:$A$17,0)),"?"))</f>
        <v/>
      </c>
    </row>
    <row r="195" spans="1:6" x14ac:dyDescent="0.35">
      <c r="A195" s="10"/>
      <c r="B195" s="9"/>
      <c r="C195" s="9"/>
      <c r="D195" s="9"/>
      <c r="E195" s="11"/>
      <c r="F195" s="8" t="str">
        <f>IF(C195="","",IFERROR(INDEX(Lists!$C$2:$C$17,MATCH(C195,Lists!$A$2:$A$17,0)),"?"))</f>
        <v/>
      </c>
    </row>
    <row r="196" spans="1:6" x14ac:dyDescent="0.35">
      <c r="A196" s="10"/>
      <c r="B196" s="9"/>
      <c r="C196" s="9"/>
      <c r="D196" s="9"/>
      <c r="E196" s="11"/>
      <c r="F196" s="8" t="str">
        <f>IF(C196="","",IFERROR(INDEX(Lists!$C$2:$C$17,MATCH(C196,Lists!$A$2:$A$17,0)),"?"))</f>
        <v/>
      </c>
    </row>
    <row r="197" spans="1:6" x14ac:dyDescent="0.35">
      <c r="A197" s="10"/>
      <c r="B197" s="9"/>
      <c r="C197" s="9"/>
      <c r="D197" s="9"/>
      <c r="E197" s="11"/>
      <c r="F197" s="8" t="str">
        <f>IF(C197="","",IFERROR(INDEX(Lists!$C$2:$C$17,MATCH(C197,Lists!$A$2:$A$17,0)),"?"))</f>
        <v/>
      </c>
    </row>
    <row r="198" spans="1:6" x14ac:dyDescent="0.35">
      <c r="A198" s="10"/>
      <c r="B198" s="9"/>
      <c r="C198" s="9"/>
      <c r="D198" s="9"/>
      <c r="E198" s="11"/>
      <c r="F198" s="8" t="str">
        <f>IF(C198="","",IFERROR(INDEX(Lists!$C$2:$C$17,MATCH(C198,Lists!$A$2:$A$17,0)),"?"))</f>
        <v/>
      </c>
    </row>
    <row r="199" spans="1:6" x14ac:dyDescent="0.35">
      <c r="A199" s="10"/>
      <c r="B199" s="9"/>
      <c r="C199" s="9"/>
      <c r="D199" s="9"/>
      <c r="E199" s="11"/>
      <c r="F199" s="8" t="str">
        <f>IF(C199="","",IFERROR(INDEX(Lists!$C$2:$C$17,MATCH(C199,Lists!$A$2:$A$17,0)),"?"))</f>
        <v/>
      </c>
    </row>
    <row r="200" spans="1:6" x14ac:dyDescent="0.35">
      <c r="A200" s="10"/>
      <c r="B200" s="9"/>
      <c r="C200" s="9"/>
      <c r="D200" s="9"/>
      <c r="E200" s="11"/>
      <c r="F200" s="8" t="str">
        <f>IF(C200="","",IFERROR(INDEX(Lists!$C$2:$C$17,MATCH(C200,Lists!$A$2:$A$17,0)),"?"))</f>
        <v/>
      </c>
    </row>
    <row r="201" spans="1:6" x14ac:dyDescent="0.35">
      <c r="A201" s="10"/>
      <c r="B201" s="9"/>
      <c r="C201" s="9"/>
      <c r="D201" s="9"/>
      <c r="E201" s="11"/>
      <c r="F201" s="8" t="str">
        <f>IF(C201="","",IFERROR(INDEX(Lists!$C$2:$C$17,MATCH(C201,Lists!$A$2:$A$17,0)),"?"))</f>
        <v/>
      </c>
    </row>
    <row r="202" spans="1:6" x14ac:dyDescent="0.35">
      <c r="A202" s="10"/>
      <c r="B202" s="9"/>
      <c r="C202" s="9"/>
      <c r="D202" s="9"/>
      <c r="E202" s="11"/>
      <c r="F202" s="8" t="str">
        <f>IF(C202="","",IFERROR(INDEX(Lists!$C$2:$C$17,MATCH(C202,Lists!$A$2:$A$17,0)),"?"))</f>
        <v/>
      </c>
    </row>
    <row r="203" spans="1:6" x14ac:dyDescent="0.35">
      <c r="A203" s="10"/>
      <c r="B203" s="9"/>
      <c r="C203" s="9"/>
      <c r="D203" s="9"/>
      <c r="E203" s="11"/>
      <c r="F203" s="8" t="str">
        <f>IF(C203="","",IFERROR(INDEX(Lists!$C$2:$C$17,MATCH(C203,Lists!$A$2:$A$17,0)),"?"))</f>
        <v/>
      </c>
    </row>
    <row r="204" spans="1:6" x14ac:dyDescent="0.35">
      <c r="A204" s="10"/>
      <c r="B204" s="9"/>
      <c r="C204" s="9"/>
      <c r="D204" s="9"/>
      <c r="E204" s="11"/>
      <c r="F204" s="8" t="str">
        <f>IF(C204="","",IFERROR(INDEX(Lists!$C$2:$C$17,MATCH(C204,Lists!$A$2:$A$17,0)),"?"))</f>
        <v/>
      </c>
    </row>
    <row r="205" spans="1:6" x14ac:dyDescent="0.35">
      <c r="A205" s="10"/>
      <c r="B205" s="9"/>
      <c r="C205" s="9"/>
      <c r="D205" s="9"/>
      <c r="E205" s="11"/>
      <c r="F205" s="8" t="str">
        <f>IF(C205="","",IFERROR(INDEX(Lists!$C$2:$C$17,MATCH(C205,Lists!$A$2:$A$17,0)),"?"))</f>
        <v/>
      </c>
    </row>
    <row r="206" spans="1:6" x14ac:dyDescent="0.35">
      <c r="A206" s="10"/>
      <c r="B206" s="9"/>
      <c r="C206" s="9"/>
      <c r="D206" s="9"/>
      <c r="E206" s="11"/>
      <c r="F206" s="8" t="str">
        <f>IF(C206="","",IFERROR(INDEX(Lists!$C$2:$C$17,MATCH(C206,Lists!$A$2:$A$17,0)),"?"))</f>
        <v/>
      </c>
    </row>
    <row r="207" spans="1:6" x14ac:dyDescent="0.35">
      <c r="A207" s="10"/>
      <c r="B207" s="9"/>
      <c r="C207" s="9"/>
      <c r="D207" s="9"/>
      <c r="E207" s="11"/>
      <c r="F207" s="8" t="str">
        <f>IF(C207="","",IFERROR(INDEX(Lists!$C$2:$C$17,MATCH(C207,Lists!$A$2:$A$17,0)),"?"))</f>
        <v/>
      </c>
    </row>
    <row r="208" spans="1:6" x14ac:dyDescent="0.35">
      <c r="A208" s="10"/>
      <c r="B208" s="9"/>
      <c r="C208" s="9"/>
      <c r="D208" s="9"/>
      <c r="E208" s="11"/>
      <c r="F208" s="8" t="str">
        <f>IF(C208="","",IFERROR(INDEX(Lists!$C$2:$C$17,MATCH(C208,Lists!$A$2:$A$17,0)),"?"))</f>
        <v/>
      </c>
    </row>
    <row r="209" spans="1:6" x14ac:dyDescent="0.35">
      <c r="A209" s="10"/>
      <c r="B209" s="9"/>
      <c r="C209" s="9"/>
      <c r="D209" s="9"/>
      <c r="E209" s="11"/>
      <c r="F209" s="8" t="str">
        <f>IF(C209="","",IFERROR(INDEX(Lists!$C$2:$C$17,MATCH(C209,Lists!$A$2:$A$17,0)),"?"))</f>
        <v/>
      </c>
    </row>
    <row r="210" spans="1:6" x14ac:dyDescent="0.35">
      <c r="A210" s="10"/>
      <c r="B210" s="9"/>
      <c r="C210" s="9"/>
      <c r="D210" s="9"/>
      <c r="E210" s="11"/>
      <c r="F210" s="8" t="str">
        <f>IF(C210="","",IFERROR(INDEX(Lists!$C$2:$C$17,MATCH(C210,Lists!$A$2:$A$17,0)),"?"))</f>
        <v/>
      </c>
    </row>
    <row r="211" spans="1:6" x14ac:dyDescent="0.35">
      <c r="A211" s="10"/>
      <c r="B211" s="9"/>
      <c r="C211" s="9"/>
      <c r="D211" s="9"/>
      <c r="E211" s="11"/>
      <c r="F211" s="8" t="str">
        <f>IF(C211="","",IFERROR(INDEX(Lists!$C$2:$C$17,MATCH(C211,Lists!$A$2:$A$17,0)),"?"))</f>
        <v/>
      </c>
    </row>
    <row r="212" spans="1:6" x14ac:dyDescent="0.35">
      <c r="A212" s="10"/>
      <c r="B212" s="9"/>
      <c r="C212" s="9"/>
      <c r="D212" s="9"/>
      <c r="E212" s="11"/>
      <c r="F212" s="8" t="str">
        <f>IF(C212="","",IFERROR(INDEX(Lists!$C$2:$C$17,MATCH(C212,Lists!$A$2:$A$17,0)),"?"))</f>
        <v/>
      </c>
    </row>
    <row r="213" spans="1:6" x14ac:dyDescent="0.35">
      <c r="A213" s="10"/>
      <c r="B213" s="9"/>
      <c r="C213" s="9"/>
      <c r="D213" s="9"/>
      <c r="E213" s="11"/>
      <c r="F213" s="8" t="str">
        <f>IF(C213="","",IFERROR(INDEX(Lists!$C$2:$C$17,MATCH(C213,Lists!$A$2:$A$17,0)),"?"))</f>
        <v/>
      </c>
    </row>
    <row r="214" spans="1:6" x14ac:dyDescent="0.35">
      <c r="A214" s="10"/>
      <c r="B214" s="9"/>
      <c r="C214" s="9"/>
      <c r="D214" s="9"/>
      <c r="E214" s="11"/>
      <c r="F214" s="8" t="str">
        <f>IF(C214="","",IFERROR(INDEX(Lists!$C$2:$C$17,MATCH(C214,Lists!$A$2:$A$17,0)),"?"))</f>
        <v/>
      </c>
    </row>
    <row r="215" spans="1:6" x14ac:dyDescent="0.35">
      <c r="A215" s="10"/>
      <c r="B215" s="9"/>
      <c r="C215" s="9"/>
      <c r="D215" s="9"/>
      <c r="E215" s="11"/>
      <c r="F215" s="8" t="str">
        <f>IF(C215="","",IFERROR(INDEX(Lists!$C$2:$C$17,MATCH(C215,Lists!$A$2:$A$17,0)),"?"))</f>
        <v/>
      </c>
    </row>
    <row r="216" spans="1:6" x14ac:dyDescent="0.35">
      <c r="A216" s="10"/>
      <c r="B216" s="9"/>
      <c r="C216" s="9"/>
      <c r="D216" s="9"/>
      <c r="E216" s="11"/>
      <c r="F216" s="8" t="str">
        <f>IF(C216="","",IFERROR(INDEX(Lists!$C$2:$C$17,MATCH(C216,Lists!$A$2:$A$17,0)),"?"))</f>
        <v/>
      </c>
    </row>
    <row r="217" spans="1:6" x14ac:dyDescent="0.35">
      <c r="A217" s="10"/>
      <c r="B217" s="9"/>
      <c r="C217" s="9"/>
      <c r="D217" s="9"/>
      <c r="E217" s="11"/>
      <c r="F217" s="8" t="str">
        <f>IF(C217="","",IFERROR(INDEX(Lists!$C$2:$C$17,MATCH(C217,Lists!$A$2:$A$17,0)),"?"))</f>
        <v/>
      </c>
    </row>
    <row r="218" spans="1:6" x14ac:dyDescent="0.35">
      <c r="A218" s="10"/>
      <c r="B218" s="9"/>
      <c r="C218" s="9"/>
      <c r="D218" s="9"/>
      <c r="E218" s="11"/>
      <c r="F218" s="8" t="str">
        <f>IF(C218="","",IFERROR(INDEX(Lists!$C$2:$C$17,MATCH(C218,Lists!$A$2:$A$17,0)),"?"))</f>
        <v/>
      </c>
    </row>
    <row r="219" spans="1:6" x14ac:dyDescent="0.35">
      <c r="A219" s="10"/>
      <c r="B219" s="9"/>
      <c r="C219" s="9"/>
      <c r="D219" s="9"/>
      <c r="E219" s="11"/>
      <c r="F219" s="8" t="str">
        <f>IF(C219="","",IFERROR(INDEX(Lists!$C$2:$C$17,MATCH(C219,Lists!$A$2:$A$17,0)),"?"))</f>
        <v/>
      </c>
    </row>
    <row r="220" spans="1:6" x14ac:dyDescent="0.35">
      <c r="A220" s="10"/>
      <c r="B220" s="9"/>
      <c r="C220" s="9"/>
      <c r="D220" s="9"/>
      <c r="E220" s="11"/>
      <c r="F220" s="8" t="str">
        <f>IF(C220="","",IFERROR(INDEX(Lists!$C$2:$C$17,MATCH(C220,Lists!$A$2:$A$17,0)),"?"))</f>
        <v/>
      </c>
    </row>
    <row r="221" spans="1:6" x14ac:dyDescent="0.35">
      <c r="A221" s="10"/>
      <c r="B221" s="9"/>
      <c r="C221" s="9"/>
      <c r="D221" s="9"/>
      <c r="E221" s="11"/>
      <c r="F221" s="8" t="str">
        <f>IF(C221="","",IFERROR(INDEX(Lists!$C$2:$C$17,MATCH(C221,Lists!$A$2:$A$17,0)),"?"))</f>
        <v/>
      </c>
    </row>
    <row r="222" spans="1:6" x14ac:dyDescent="0.35">
      <c r="A222" s="10"/>
      <c r="B222" s="9"/>
      <c r="C222" s="9"/>
      <c r="D222" s="9"/>
      <c r="E222" s="11"/>
      <c r="F222" s="8" t="str">
        <f>IF(C222="","",IFERROR(INDEX(Lists!$C$2:$C$17,MATCH(C222,Lists!$A$2:$A$17,0)),"?"))</f>
        <v/>
      </c>
    </row>
    <row r="223" spans="1:6" x14ac:dyDescent="0.35">
      <c r="A223" s="10"/>
      <c r="B223" s="9"/>
      <c r="C223" s="9"/>
      <c r="D223" s="9"/>
      <c r="E223" s="11"/>
      <c r="F223" s="8" t="str">
        <f>IF(C223="","",IFERROR(INDEX(Lists!$C$2:$C$17,MATCH(C223,Lists!$A$2:$A$17,0)),"?"))</f>
        <v/>
      </c>
    </row>
    <row r="224" spans="1:6" x14ac:dyDescent="0.35">
      <c r="A224" s="10"/>
      <c r="B224" s="9"/>
      <c r="C224" s="9"/>
      <c r="D224" s="9"/>
      <c r="E224" s="11"/>
      <c r="F224" s="8" t="str">
        <f>IF(C224="","",IFERROR(INDEX(Lists!$C$2:$C$17,MATCH(C224,Lists!$A$2:$A$17,0)),"?"))</f>
        <v/>
      </c>
    </row>
    <row r="225" spans="1:6" x14ac:dyDescent="0.35">
      <c r="A225" s="10"/>
      <c r="B225" s="9"/>
      <c r="C225" s="9"/>
      <c r="D225" s="9"/>
      <c r="E225" s="11"/>
      <c r="F225" s="8" t="str">
        <f>IF(C225="","",IFERROR(INDEX(Lists!$C$2:$C$17,MATCH(C225,Lists!$A$2:$A$17,0)),"?"))</f>
        <v/>
      </c>
    </row>
    <row r="226" spans="1:6" x14ac:dyDescent="0.35">
      <c r="A226" s="10"/>
      <c r="B226" s="9"/>
      <c r="C226" s="9"/>
      <c r="D226" s="9"/>
      <c r="E226" s="11"/>
      <c r="F226" s="8" t="str">
        <f>IF(C226="","",IFERROR(INDEX(Lists!$C$2:$C$17,MATCH(C226,Lists!$A$2:$A$17,0)),"?"))</f>
        <v/>
      </c>
    </row>
    <row r="227" spans="1:6" x14ac:dyDescent="0.35">
      <c r="A227" s="10"/>
      <c r="B227" s="9"/>
      <c r="C227" s="9"/>
      <c r="D227" s="9"/>
      <c r="E227" s="11"/>
      <c r="F227" s="8" t="str">
        <f>IF(C227="","",IFERROR(INDEX(Lists!$C$2:$C$17,MATCH(C227,Lists!$A$2:$A$17,0)),"?"))</f>
        <v/>
      </c>
    </row>
    <row r="228" spans="1:6" x14ac:dyDescent="0.35">
      <c r="A228" s="10"/>
      <c r="B228" s="9"/>
      <c r="C228" s="9"/>
      <c r="D228" s="9"/>
      <c r="E228" s="11"/>
      <c r="F228" s="8" t="str">
        <f>IF(C228="","",IFERROR(INDEX(Lists!$C$2:$C$17,MATCH(C228,Lists!$A$2:$A$17,0)),"?"))</f>
        <v/>
      </c>
    </row>
    <row r="229" spans="1:6" x14ac:dyDescent="0.35">
      <c r="A229" s="10"/>
      <c r="B229" s="9"/>
      <c r="C229" s="9"/>
      <c r="D229" s="9"/>
      <c r="E229" s="11"/>
      <c r="F229" s="8" t="str">
        <f>IF(C229="","",IFERROR(INDEX(Lists!$C$2:$C$17,MATCH(C229,Lists!$A$2:$A$17,0)),"?"))</f>
        <v/>
      </c>
    </row>
    <row r="230" spans="1:6" x14ac:dyDescent="0.35">
      <c r="A230" s="10"/>
      <c r="B230" s="9"/>
      <c r="C230" s="9"/>
      <c r="D230" s="9"/>
      <c r="E230" s="11"/>
      <c r="F230" s="8" t="str">
        <f>IF(C230="","",IFERROR(INDEX(Lists!$C$2:$C$17,MATCH(C230,Lists!$A$2:$A$17,0)),"?"))</f>
        <v/>
      </c>
    </row>
    <row r="231" spans="1:6" x14ac:dyDescent="0.35">
      <c r="A231" s="10"/>
      <c r="B231" s="9"/>
      <c r="C231" s="9"/>
      <c r="D231" s="9"/>
      <c r="E231" s="11"/>
      <c r="F231" s="8" t="str">
        <f>IF(C231="","",IFERROR(INDEX(Lists!$C$2:$C$17,MATCH(C231,Lists!$A$2:$A$17,0)),"?"))</f>
        <v/>
      </c>
    </row>
    <row r="232" spans="1:6" x14ac:dyDescent="0.35">
      <c r="A232" s="10"/>
      <c r="B232" s="9"/>
      <c r="C232" s="9"/>
      <c r="D232" s="9"/>
      <c r="E232" s="11"/>
      <c r="F232" s="8" t="str">
        <f>IF(C232="","",IFERROR(INDEX(Lists!$C$2:$C$17,MATCH(C232,Lists!$A$2:$A$17,0)),"?"))</f>
        <v/>
      </c>
    </row>
    <row r="233" spans="1:6" x14ac:dyDescent="0.35">
      <c r="A233" s="10"/>
      <c r="B233" s="9"/>
      <c r="C233" s="9"/>
      <c r="D233" s="9"/>
      <c r="E233" s="11"/>
      <c r="F233" s="8" t="str">
        <f>IF(C233="","",IFERROR(INDEX(Lists!$C$2:$C$17,MATCH(C233,Lists!$A$2:$A$17,0)),"?"))</f>
        <v/>
      </c>
    </row>
    <row r="234" spans="1:6" x14ac:dyDescent="0.35">
      <c r="A234" s="10"/>
      <c r="B234" s="9"/>
      <c r="C234" s="9"/>
      <c r="D234" s="9"/>
      <c r="E234" s="11"/>
      <c r="F234" s="8" t="str">
        <f>IF(C234="","",IFERROR(INDEX(Lists!$C$2:$C$17,MATCH(C234,Lists!$A$2:$A$17,0)),"?"))</f>
        <v/>
      </c>
    </row>
    <row r="235" spans="1:6" x14ac:dyDescent="0.35">
      <c r="A235" s="10"/>
      <c r="B235" s="9"/>
      <c r="C235" s="9"/>
      <c r="D235" s="9"/>
      <c r="E235" s="11"/>
      <c r="F235" s="8" t="str">
        <f>IF(C235="","",IFERROR(INDEX(Lists!$C$2:$C$17,MATCH(C235,Lists!$A$2:$A$17,0)),"?"))</f>
        <v/>
      </c>
    </row>
    <row r="236" spans="1:6" x14ac:dyDescent="0.35">
      <c r="A236" s="10"/>
      <c r="B236" s="9"/>
      <c r="C236" s="9"/>
      <c r="D236" s="9"/>
      <c r="E236" s="11"/>
      <c r="F236" s="8" t="str">
        <f>IF(C236="","",IFERROR(INDEX(Lists!$C$2:$C$17,MATCH(C236,Lists!$A$2:$A$17,0)),"?"))</f>
        <v/>
      </c>
    </row>
    <row r="237" spans="1:6" x14ac:dyDescent="0.35">
      <c r="A237" s="10"/>
      <c r="B237" s="9"/>
      <c r="C237" s="9"/>
      <c r="D237" s="9"/>
      <c r="E237" s="11"/>
      <c r="F237" s="8" t="str">
        <f>IF(C237="","",IFERROR(INDEX(Lists!$C$2:$C$17,MATCH(C237,Lists!$A$2:$A$17,0)),"?"))</f>
        <v/>
      </c>
    </row>
    <row r="238" spans="1:6" x14ac:dyDescent="0.35">
      <c r="A238" s="10"/>
      <c r="B238" s="9"/>
      <c r="C238" s="9"/>
      <c r="D238" s="9"/>
      <c r="E238" s="11"/>
      <c r="F238" s="8" t="str">
        <f>IF(C238="","",IFERROR(INDEX(Lists!$C$2:$C$17,MATCH(C238,Lists!$A$2:$A$17,0)),"?"))</f>
        <v/>
      </c>
    </row>
    <row r="239" spans="1:6" x14ac:dyDescent="0.35">
      <c r="A239" s="10"/>
      <c r="B239" s="9"/>
      <c r="C239" s="9"/>
      <c r="D239" s="9"/>
      <c r="E239" s="11"/>
      <c r="F239" s="8" t="str">
        <f>IF(C239="","",IFERROR(INDEX(Lists!$C$2:$C$17,MATCH(C239,Lists!$A$2:$A$17,0)),"?"))</f>
        <v/>
      </c>
    </row>
    <row r="240" spans="1:6" x14ac:dyDescent="0.35">
      <c r="A240" s="10"/>
      <c r="B240" s="9"/>
      <c r="C240" s="9"/>
      <c r="D240" s="9"/>
      <c r="E240" s="11"/>
      <c r="F240" s="8" t="str">
        <f>IF(C240="","",IFERROR(INDEX(Lists!$C$2:$C$17,MATCH(C240,Lists!$A$2:$A$17,0)),"?"))</f>
        <v/>
      </c>
    </row>
    <row r="241" spans="1:6" x14ac:dyDescent="0.35">
      <c r="A241" s="10"/>
      <c r="B241" s="9"/>
      <c r="C241" s="9"/>
      <c r="D241" s="9"/>
      <c r="E241" s="11"/>
      <c r="F241" s="8" t="str">
        <f>IF(C241="","",IFERROR(INDEX(Lists!$C$2:$C$17,MATCH(C241,Lists!$A$2:$A$17,0)),"?"))</f>
        <v/>
      </c>
    </row>
    <row r="242" spans="1:6" x14ac:dyDescent="0.35">
      <c r="A242" s="10"/>
      <c r="B242" s="9"/>
      <c r="C242" s="9"/>
      <c r="D242" s="9"/>
      <c r="E242" s="11"/>
      <c r="F242" s="8" t="str">
        <f>IF(C242="","",IFERROR(INDEX(Lists!$C$2:$C$17,MATCH(C242,Lists!$A$2:$A$17,0)),"?"))</f>
        <v/>
      </c>
    </row>
    <row r="243" spans="1:6" x14ac:dyDescent="0.35">
      <c r="A243" s="10"/>
      <c r="B243" s="9"/>
      <c r="C243" s="9"/>
      <c r="D243" s="9"/>
      <c r="E243" s="11"/>
      <c r="F243" s="8" t="str">
        <f>IF(C243="","",IFERROR(INDEX(Lists!$C$2:$C$17,MATCH(C243,Lists!$A$2:$A$17,0)),"?"))</f>
        <v/>
      </c>
    </row>
    <row r="244" spans="1:6" x14ac:dyDescent="0.35">
      <c r="A244" s="10"/>
      <c r="B244" s="9"/>
      <c r="C244" s="9"/>
      <c r="D244" s="9"/>
      <c r="E244" s="11"/>
      <c r="F244" s="8" t="str">
        <f>IF(C244="","",IFERROR(INDEX(Lists!$C$2:$C$17,MATCH(C244,Lists!$A$2:$A$17,0)),"?"))</f>
        <v/>
      </c>
    </row>
    <row r="245" spans="1:6" x14ac:dyDescent="0.35">
      <c r="A245" s="10"/>
      <c r="B245" s="9"/>
      <c r="C245" s="9"/>
      <c r="D245" s="9"/>
      <c r="E245" s="11"/>
      <c r="F245" s="8" t="str">
        <f>IF(C245="","",IFERROR(INDEX(Lists!$C$2:$C$17,MATCH(C245,Lists!$A$2:$A$17,0)),"?"))</f>
        <v/>
      </c>
    </row>
    <row r="246" spans="1:6" x14ac:dyDescent="0.35">
      <c r="A246" s="10"/>
      <c r="B246" s="9"/>
      <c r="C246" s="9"/>
      <c r="D246" s="9"/>
      <c r="E246" s="11"/>
      <c r="F246" s="8" t="str">
        <f>IF(C246="","",IFERROR(INDEX(Lists!$C$2:$C$17,MATCH(C246,Lists!$A$2:$A$17,0)),"?"))</f>
        <v/>
      </c>
    </row>
    <row r="247" spans="1:6" x14ac:dyDescent="0.35">
      <c r="A247" s="10"/>
      <c r="B247" s="9"/>
      <c r="C247" s="9"/>
      <c r="D247" s="9"/>
      <c r="E247" s="11"/>
      <c r="F247" s="8" t="str">
        <f>IF(C247="","",IFERROR(INDEX(Lists!$C$2:$C$17,MATCH(C247,Lists!$A$2:$A$17,0)),"?"))</f>
        <v/>
      </c>
    </row>
    <row r="248" spans="1:6" x14ac:dyDescent="0.35">
      <c r="A248" s="10"/>
      <c r="B248" s="9"/>
      <c r="C248" s="9"/>
      <c r="D248" s="9"/>
      <c r="E248" s="11"/>
      <c r="F248" s="8" t="str">
        <f>IF(C248="","",IFERROR(INDEX(Lists!$C$2:$C$17,MATCH(C248,Lists!$A$2:$A$17,0)),"?"))</f>
        <v/>
      </c>
    </row>
    <row r="249" spans="1:6" x14ac:dyDescent="0.35">
      <c r="A249" s="10"/>
      <c r="B249" s="9"/>
      <c r="C249" s="9"/>
      <c r="D249" s="9"/>
      <c r="E249" s="11"/>
      <c r="F249" s="8" t="str">
        <f>IF(C249="","",IFERROR(INDEX(Lists!$C$2:$C$17,MATCH(C249,Lists!$A$2:$A$17,0)),"?"))</f>
        <v/>
      </c>
    </row>
    <row r="250" spans="1:6" x14ac:dyDescent="0.35">
      <c r="A250" s="10"/>
      <c r="B250" s="9"/>
      <c r="C250" s="9"/>
      <c r="D250" s="9"/>
      <c r="E250" s="11"/>
      <c r="F250" s="8" t="str">
        <f>IF(C250="","",IFERROR(INDEX(Lists!$C$2:$C$17,MATCH(C250,Lists!$A$2:$A$17,0)),"?"))</f>
        <v/>
      </c>
    </row>
    <row r="251" spans="1:6" x14ac:dyDescent="0.35">
      <c r="A251" s="10"/>
      <c r="B251" s="9"/>
      <c r="C251" s="9"/>
      <c r="D251" s="9"/>
      <c r="E251" s="11"/>
      <c r="F251" s="8" t="str">
        <f>IF(C251="","",IFERROR(INDEX(Lists!$C$2:$C$17,MATCH(C251,Lists!$A$2:$A$17,0)),"?"))</f>
        <v/>
      </c>
    </row>
    <row r="252" spans="1:6" x14ac:dyDescent="0.35">
      <c r="A252" s="10"/>
      <c r="B252" s="9"/>
      <c r="C252" s="9"/>
      <c r="D252" s="9"/>
      <c r="E252" s="11"/>
      <c r="F252" s="8" t="str">
        <f>IF(C252="","",IFERROR(INDEX(Lists!$C$2:$C$17,MATCH(C252,Lists!$A$2:$A$17,0)),"?"))</f>
        <v/>
      </c>
    </row>
    <row r="253" spans="1:6" x14ac:dyDescent="0.35">
      <c r="A253" s="10"/>
      <c r="B253" s="9"/>
      <c r="C253" s="9"/>
      <c r="D253" s="9"/>
      <c r="E253" s="11"/>
      <c r="F253" s="8" t="str">
        <f>IF(C253="","",IFERROR(INDEX(Lists!$C$2:$C$17,MATCH(C253,Lists!$A$2:$A$17,0)),"?"))</f>
        <v/>
      </c>
    </row>
    <row r="254" spans="1:6" x14ac:dyDescent="0.35">
      <c r="A254" s="10"/>
      <c r="B254" s="9"/>
      <c r="C254" s="9"/>
      <c r="D254" s="9"/>
      <c r="E254" s="11"/>
      <c r="F254" s="8" t="str">
        <f>IF(C254="","",IFERROR(INDEX(Lists!$C$2:$C$17,MATCH(C254,Lists!$A$2:$A$17,0)),"?"))</f>
        <v/>
      </c>
    </row>
    <row r="255" spans="1:6" x14ac:dyDescent="0.35">
      <c r="A255" s="10"/>
      <c r="B255" s="9"/>
      <c r="C255" s="9"/>
      <c r="D255" s="9"/>
      <c r="E255" s="11"/>
      <c r="F255" s="8" t="str">
        <f>IF(C255="","",IFERROR(INDEX(Lists!$C$2:$C$17,MATCH(C255,Lists!$A$2:$A$17,0)),"?"))</f>
        <v/>
      </c>
    </row>
    <row r="256" spans="1:6" x14ac:dyDescent="0.35">
      <c r="A256" s="10"/>
      <c r="B256" s="9"/>
      <c r="C256" s="9"/>
      <c r="D256" s="9"/>
      <c r="E256" s="11"/>
      <c r="F256" s="8" t="str">
        <f>IF(C256="","",IFERROR(INDEX(Lists!$C$2:$C$17,MATCH(C256,Lists!$A$2:$A$17,0)),"?"))</f>
        <v/>
      </c>
    </row>
    <row r="257" spans="1:6" x14ac:dyDescent="0.35">
      <c r="A257" s="10"/>
      <c r="B257" s="9"/>
      <c r="C257" s="9"/>
      <c r="D257" s="9"/>
      <c r="E257" s="11"/>
      <c r="F257" s="8" t="str">
        <f>IF(C257="","",IFERROR(INDEX(Lists!$C$2:$C$17,MATCH(C257,Lists!$A$2:$A$17,0)),"?"))</f>
        <v/>
      </c>
    </row>
    <row r="258" spans="1:6" x14ac:dyDescent="0.35">
      <c r="A258" s="10"/>
      <c r="B258" s="9"/>
      <c r="C258" s="9"/>
      <c r="D258" s="9"/>
      <c r="E258" s="11"/>
      <c r="F258" s="8" t="str">
        <f>IF(C258="","",IFERROR(INDEX(Lists!$C$2:$C$17,MATCH(C258,Lists!$A$2:$A$17,0)),"?"))</f>
        <v/>
      </c>
    </row>
    <row r="259" spans="1:6" x14ac:dyDescent="0.35">
      <c r="A259" s="10"/>
      <c r="B259" s="9"/>
      <c r="C259" s="9"/>
      <c r="D259" s="9"/>
      <c r="E259" s="11"/>
      <c r="F259" s="8" t="str">
        <f>IF(C259="","",IFERROR(INDEX(Lists!$C$2:$C$17,MATCH(C259,Lists!$A$2:$A$17,0)),"?"))</f>
        <v/>
      </c>
    </row>
    <row r="260" spans="1:6" x14ac:dyDescent="0.35">
      <c r="A260" s="10"/>
      <c r="B260" s="9"/>
      <c r="C260" s="9"/>
      <c r="D260" s="9"/>
      <c r="E260" s="11"/>
      <c r="F260" s="8" t="str">
        <f>IF(C260="","",IFERROR(INDEX(Lists!$C$2:$C$17,MATCH(C260,Lists!$A$2:$A$17,0)),"?"))</f>
        <v/>
      </c>
    </row>
    <row r="261" spans="1:6" x14ac:dyDescent="0.35">
      <c r="A261" s="10"/>
      <c r="B261" s="9"/>
      <c r="C261" s="9"/>
      <c r="D261" s="9"/>
      <c r="E261" s="11"/>
      <c r="F261" s="8" t="str">
        <f>IF(C261="","",IFERROR(INDEX(Lists!$C$2:$C$17,MATCH(C261,Lists!$A$2:$A$17,0)),"?"))</f>
        <v/>
      </c>
    </row>
    <row r="262" spans="1:6" x14ac:dyDescent="0.35">
      <c r="A262" s="10"/>
      <c r="B262" s="9"/>
      <c r="C262" s="9"/>
      <c r="D262" s="9"/>
      <c r="E262" s="11"/>
      <c r="F262" s="8" t="str">
        <f>IF(C262="","",IFERROR(INDEX(Lists!$C$2:$C$17,MATCH(C262,Lists!$A$2:$A$17,0)),"?"))</f>
        <v/>
      </c>
    </row>
    <row r="263" spans="1:6" x14ac:dyDescent="0.35">
      <c r="A263" s="10"/>
      <c r="B263" s="9"/>
      <c r="C263" s="9"/>
      <c r="D263" s="9"/>
      <c r="E263" s="11"/>
      <c r="F263" s="8" t="str">
        <f>IF(C263="","",IFERROR(INDEX(Lists!$C$2:$C$17,MATCH(C263,Lists!$A$2:$A$17,0)),"?"))</f>
        <v/>
      </c>
    </row>
    <row r="264" spans="1:6" x14ac:dyDescent="0.35">
      <c r="A264" s="10"/>
      <c r="B264" s="9"/>
      <c r="C264" s="9"/>
      <c r="D264" s="9"/>
      <c r="E264" s="11"/>
      <c r="F264" s="8" t="str">
        <f>IF(C264="","",IFERROR(INDEX(Lists!$C$2:$C$17,MATCH(C264,Lists!$A$2:$A$17,0)),"?"))</f>
        <v/>
      </c>
    </row>
    <row r="265" spans="1:6" x14ac:dyDescent="0.35">
      <c r="A265" s="10"/>
      <c r="B265" s="9"/>
      <c r="C265" s="9"/>
      <c r="D265" s="9"/>
      <c r="E265" s="11"/>
      <c r="F265" s="8" t="str">
        <f>IF(C265="","",IFERROR(INDEX(Lists!$C$2:$C$17,MATCH(C265,Lists!$A$2:$A$17,0)),"?"))</f>
        <v/>
      </c>
    </row>
    <row r="266" spans="1:6" x14ac:dyDescent="0.35">
      <c r="A266" s="10"/>
      <c r="B266" s="9"/>
      <c r="C266" s="9"/>
      <c r="D266" s="9"/>
      <c r="E266" s="11"/>
      <c r="F266" s="8" t="str">
        <f>IF(C266="","",IFERROR(INDEX(Lists!$C$2:$C$17,MATCH(C266,Lists!$A$2:$A$17,0)),"?"))</f>
        <v/>
      </c>
    </row>
    <row r="267" spans="1:6" x14ac:dyDescent="0.35">
      <c r="A267" s="10"/>
      <c r="B267" s="9"/>
      <c r="C267" s="9"/>
      <c r="D267" s="9"/>
      <c r="E267" s="11"/>
      <c r="F267" s="8" t="str">
        <f>IF(C267="","",IFERROR(INDEX(Lists!$C$2:$C$17,MATCH(C267,Lists!$A$2:$A$17,0)),"?"))</f>
        <v/>
      </c>
    </row>
    <row r="268" spans="1:6" x14ac:dyDescent="0.35">
      <c r="A268" s="10"/>
      <c r="B268" s="9"/>
      <c r="C268" s="9"/>
      <c r="D268" s="9"/>
      <c r="E268" s="11"/>
      <c r="F268" s="8" t="str">
        <f>IF(C268="","",IFERROR(INDEX(Lists!$C$2:$C$17,MATCH(C268,Lists!$A$2:$A$17,0)),"?"))</f>
        <v/>
      </c>
    </row>
    <row r="269" spans="1:6" x14ac:dyDescent="0.35">
      <c r="A269" s="10"/>
      <c r="B269" s="9"/>
      <c r="C269" s="9"/>
      <c r="D269" s="9"/>
      <c r="E269" s="11"/>
      <c r="F269" s="8" t="str">
        <f>IF(C269="","",IFERROR(INDEX(Lists!$C$2:$C$17,MATCH(C269,Lists!$A$2:$A$17,0)),"?"))</f>
        <v/>
      </c>
    </row>
    <row r="270" spans="1:6" x14ac:dyDescent="0.35">
      <c r="A270" s="10"/>
      <c r="B270" s="9"/>
      <c r="C270" s="9"/>
      <c r="D270" s="9"/>
      <c r="E270" s="11"/>
      <c r="F270" s="8" t="str">
        <f>IF(C270="","",IFERROR(INDEX(Lists!$C$2:$C$17,MATCH(C270,Lists!$A$2:$A$17,0)),"?"))</f>
        <v/>
      </c>
    </row>
    <row r="271" spans="1:6" x14ac:dyDescent="0.35">
      <c r="A271" s="10"/>
      <c r="B271" s="9"/>
      <c r="C271" s="9"/>
      <c r="D271" s="9"/>
      <c r="E271" s="11"/>
      <c r="F271" s="8" t="str">
        <f>IF(C271="","",IFERROR(INDEX(Lists!$C$2:$C$17,MATCH(C271,Lists!$A$2:$A$17,0)),"?"))</f>
        <v/>
      </c>
    </row>
    <row r="272" spans="1:6" x14ac:dyDescent="0.35">
      <c r="A272" s="10"/>
      <c r="B272" s="9"/>
      <c r="C272" s="9"/>
      <c r="D272" s="9"/>
      <c r="E272" s="11"/>
      <c r="F272" s="8" t="str">
        <f>IF(C272="","",IFERROR(INDEX(Lists!$C$2:$C$17,MATCH(C272,Lists!$A$2:$A$17,0)),"?"))</f>
        <v/>
      </c>
    </row>
    <row r="273" spans="1:6" x14ac:dyDescent="0.35">
      <c r="A273" s="10"/>
      <c r="B273" s="9"/>
      <c r="C273" s="9"/>
      <c r="D273" s="9"/>
      <c r="E273" s="11"/>
      <c r="F273" s="8" t="str">
        <f>IF(C273="","",IFERROR(INDEX(Lists!$C$2:$C$17,MATCH(C273,Lists!$A$2:$A$17,0)),"?"))</f>
        <v/>
      </c>
    </row>
    <row r="274" spans="1:6" x14ac:dyDescent="0.35">
      <c r="A274" s="10"/>
      <c r="B274" s="9"/>
      <c r="C274" s="9"/>
      <c r="D274" s="9"/>
      <c r="E274" s="11"/>
      <c r="F274" s="8" t="str">
        <f>IF(C274="","",IFERROR(INDEX(Lists!$C$2:$C$17,MATCH(C274,Lists!$A$2:$A$17,0)),"?"))</f>
        <v/>
      </c>
    </row>
    <row r="275" spans="1:6" x14ac:dyDescent="0.35">
      <c r="A275" s="10"/>
      <c r="B275" s="9"/>
      <c r="C275" s="9"/>
      <c r="D275" s="9"/>
      <c r="E275" s="11"/>
      <c r="F275" s="8" t="str">
        <f>IF(C275="","",IFERROR(INDEX(Lists!$C$2:$C$17,MATCH(C275,Lists!$A$2:$A$17,0)),"?"))</f>
        <v/>
      </c>
    </row>
    <row r="276" spans="1:6" x14ac:dyDescent="0.35">
      <c r="A276" s="10"/>
      <c r="B276" s="9"/>
      <c r="C276" s="9"/>
      <c r="D276" s="9"/>
      <c r="E276" s="11"/>
      <c r="F276" s="8" t="str">
        <f>IF(C276="","",IFERROR(INDEX(Lists!$C$2:$C$17,MATCH(C276,Lists!$A$2:$A$17,0)),"?"))</f>
        <v/>
      </c>
    </row>
    <row r="277" spans="1:6" x14ac:dyDescent="0.35">
      <c r="A277" s="10"/>
      <c r="B277" s="9"/>
      <c r="C277" s="9"/>
      <c r="D277" s="9"/>
      <c r="E277" s="11"/>
      <c r="F277" s="8" t="str">
        <f>IF(C277="","",IFERROR(INDEX(Lists!$C$2:$C$17,MATCH(C277,Lists!$A$2:$A$17,0)),"?"))</f>
        <v/>
      </c>
    </row>
    <row r="278" spans="1:6" x14ac:dyDescent="0.35">
      <c r="A278" s="10"/>
      <c r="B278" s="9"/>
      <c r="C278" s="9"/>
      <c r="D278" s="9"/>
      <c r="E278" s="11"/>
      <c r="F278" s="8" t="str">
        <f>IF(C278="","",IFERROR(INDEX(Lists!$C$2:$C$17,MATCH(C278,Lists!$A$2:$A$17,0)),"?"))</f>
        <v/>
      </c>
    </row>
    <row r="279" spans="1:6" x14ac:dyDescent="0.35">
      <c r="A279" s="10"/>
      <c r="B279" s="9"/>
      <c r="C279" s="9"/>
      <c r="D279" s="9"/>
      <c r="E279" s="11"/>
      <c r="F279" s="8" t="str">
        <f>IF(C279="","",IFERROR(INDEX(Lists!$C$2:$C$17,MATCH(C279,Lists!$A$2:$A$17,0)),"?"))</f>
        <v/>
      </c>
    </row>
    <row r="280" spans="1:6" x14ac:dyDescent="0.35">
      <c r="A280" s="10"/>
      <c r="B280" s="9"/>
      <c r="C280" s="9"/>
      <c r="D280" s="9"/>
      <c r="E280" s="11"/>
      <c r="F280" s="8" t="str">
        <f>IF(C280="","",IFERROR(INDEX(Lists!$C$2:$C$17,MATCH(C280,Lists!$A$2:$A$17,0)),"?"))</f>
        <v/>
      </c>
    </row>
    <row r="281" spans="1:6" x14ac:dyDescent="0.35">
      <c r="A281" s="10"/>
      <c r="B281" s="9"/>
      <c r="C281" s="9"/>
      <c r="D281" s="9"/>
      <c r="E281" s="11"/>
      <c r="F281" s="8" t="str">
        <f>IF(C281="","",IFERROR(INDEX(Lists!$C$2:$C$17,MATCH(C281,Lists!$A$2:$A$17,0)),"?"))</f>
        <v/>
      </c>
    </row>
    <row r="282" spans="1:6" x14ac:dyDescent="0.35">
      <c r="A282" s="10"/>
      <c r="B282" s="9"/>
      <c r="C282" s="9"/>
      <c r="D282" s="9"/>
      <c r="E282" s="11"/>
      <c r="F282" s="8" t="str">
        <f>IF(C282="","",IFERROR(INDEX(Lists!$C$2:$C$17,MATCH(C282,Lists!$A$2:$A$17,0)),"?"))</f>
        <v/>
      </c>
    </row>
    <row r="283" spans="1:6" x14ac:dyDescent="0.35">
      <c r="A283" s="10"/>
      <c r="B283" s="9"/>
      <c r="C283" s="9"/>
      <c r="D283" s="9"/>
      <c r="E283" s="11"/>
      <c r="F283" s="8" t="str">
        <f>IF(C283="","",IFERROR(INDEX(Lists!$C$2:$C$17,MATCH(C283,Lists!$A$2:$A$17,0)),"?"))</f>
        <v/>
      </c>
    </row>
    <row r="284" spans="1:6" x14ac:dyDescent="0.35">
      <c r="A284" s="10"/>
      <c r="B284" s="9"/>
      <c r="C284" s="9"/>
      <c r="D284" s="9"/>
      <c r="E284" s="11"/>
      <c r="F284" s="8" t="str">
        <f>IF(C284="","",IFERROR(INDEX(Lists!$C$2:$C$17,MATCH(C284,Lists!$A$2:$A$17,0)),"?"))</f>
        <v/>
      </c>
    </row>
    <row r="285" spans="1:6" x14ac:dyDescent="0.35">
      <c r="A285" s="10"/>
      <c r="B285" s="9"/>
      <c r="C285" s="9"/>
      <c r="D285" s="9"/>
      <c r="E285" s="11"/>
      <c r="F285" s="8" t="str">
        <f>IF(C285="","",IFERROR(INDEX(Lists!$C$2:$C$17,MATCH(C285,Lists!$A$2:$A$17,0)),"?"))</f>
        <v/>
      </c>
    </row>
    <row r="286" spans="1:6" x14ac:dyDescent="0.35">
      <c r="A286" s="10"/>
      <c r="B286" s="9"/>
      <c r="C286" s="9"/>
      <c r="D286" s="9"/>
      <c r="E286" s="11"/>
      <c r="F286" s="8" t="str">
        <f>IF(C286="","",IFERROR(INDEX(Lists!$C$2:$C$17,MATCH(C286,Lists!$A$2:$A$17,0)),"?"))</f>
        <v/>
      </c>
    </row>
    <row r="287" spans="1:6" x14ac:dyDescent="0.35">
      <c r="A287" s="10"/>
      <c r="B287" s="9"/>
      <c r="C287" s="9"/>
      <c r="D287" s="9"/>
      <c r="E287" s="11"/>
      <c r="F287" s="8" t="str">
        <f>IF(C287="","",IFERROR(INDEX(Lists!$C$2:$C$17,MATCH(C287,Lists!$A$2:$A$17,0)),"?"))</f>
        <v/>
      </c>
    </row>
    <row r="288" spans="1:6" x14ac:dyDescent="0.35">
      <c r="A288" s="10"/>
      <c r="B288" s="9"/>
      <c r="C288" s="9"/>
      <c r="D288" s="9"/>
      <c r="E288" s="11"/>
      <c r="F288" s="8" t="str">
        <f>IF(C288="","",IFERROR(INDEX(Lists!$C$2:$C$17,MATCH(C288,Lists!$A$2:$A$17,0)),"?"))</f>
        <v/>
      </c>
    </row>
    <row r="289" spans="1:6" x14ac:dyDescent="0.35">
      <c r="A289" s="10"/>
      <c r="B289" s="9"/>
      <c r="C289" s="9"/>
      <c r="D289" s="9"/>
      <c r="E289" s="11"/>
      <c r="F289" s="8" t="str">
        <f>IF(C289="","",IFERROR(INDEX(Lists!$C$2:$C$17,MATCH(C289,Lists!$A$2:$A$17,0)),"?"))</f>
        <v/>
      </c>
    </row>
    <row r="290" spans="1:6" x14ac:dyDescent="0.35">
      <c r="A290" s="10"/>
      <c r="B290" s="9"/>
      <c r="C290" s="9"/>
      <c r="D290" s="9"/>
      <c r="E290" s="11"/>
      <c r="F290" s="8" t="str">
        <f>IF(C290="","",IFERROR(INDEX(Lists!$C$2:$C$17,MATCH(C290,Lists!$A$2:$A$17,0)),"?"))</f>
        <v/>
      </c>
    </row>
    <row r="291" spans="1:6" x14ac:dyDescent="0.35">
      <c r="A291" s="10"/>
      <c r="B291" s="9"/>
      <c r="C291" s="9"/>
      <c r="D291" s="9"/>
      <c r="E291" s="11"/>
      <c r="F291" s="8" t="str">
        <f>IF(C291="","",IFERROR(INDEX(Lists!$C$2:$C$17,MATCH(C291,Lists!$A$2:$A$17,0)),"?"))</f>
        <v/>
      </c>
    </row>
    <row r="292" spans="1:6" x14ac:dyDescent="0.35">
      <c r="A292" s="10"/>
      <c r="B292" s="9"/>
      <c r="C292" s="9"/>
      <c r="D292" s="9"/>
      <c r="E292" s="11"/>
      <c r="F292" s="8" t="str">
        <f>IF(C292="","",IFERROR(INDEX(Lists!$C$2:$C$17,MATCH(C292,Lists!$A$2:$A$17,0)),"?"))</f>
        <v/>
      </c>
    </row>
    <row r="293" spans="1:6" x14ac:dyDescent="0.35">
      <c r="A293" s="10"/>
      <c r="B293" s="9"/>
      <c r="C293" s="9"/>
      <c r="D293" s="9"/>
      <c r="E293" s="11"/>
      <c r="F293" s="8" t="str">
        <f>IF(C293="","",IFERROR(INDEX(Lists!$C$2:$C$17,MATCH(C293,Lists!$A$2:$A$17,0)),"?"))</f>
        <v/>
      </c>
    </row>
    <row r="294" spans="1:6" x14ac:dyDescent="0.35">
      <c r="A294" s="10"/>
      <c r="B294" s="9"/>
      <c r="C294" s="9"/>
      <c r="D294" s="9"/>
      <c r="E294" s="11"/>
      <c r="F294" s="8" t="str">
        <f>IF(C294="","",IFERROR(INDEX(Lists!$C$2:$C$17,MATCH(C294,Lists!$A$2:$A$17,0)),"?"))</f>
        <v/>
      </c>
    </row>
    <row r="295" spans="1:6" x14ac:dyDescent="0.35">
      <c r="A295" s="10"/>
      <c r="B295" s="9"/>
      <c r="C295" s="9"/>
      <c r="D295" s="9"/>
      <c r="E295" s="11"/>
      <c r="F295" s="8" t="str">
        <f>IF(C295="","",IFERROR(INDEX(Lists!$C$2:$C$17,MATCH(C295,Lists!$A$2:$A$17,0)),"?"))</f>
        <v/>
      </c>
    </row>
    <row r="296" spans="1:6" x14ac:dyDescent="0.35">
      <c r="A296" s="10"/>
      <c r="B296" s="9"/>
      <c r="C296" s="9"/>
      <c r="D296" s="9"/>
      <c r="E296" s="11"/>
      <c r="F296" s="8" t="str">
        <f>IF(C296="","",IFERROR(INDEX(Lists!$C$2:$C$17,MATCH(C296,Lists!$A$2:$A$17,0)),"?"))</f>
        <v/>
      </c>
    </row>
    <row r="297" spans="1:6" x14ac:dyDescent="0.35">
      <c r="A297" s="10"/>
      <c r="B297" s="9"/>
      <c r="C297" s="9"/>
      <c r="D297" s="9"/>
      <c r="E297" s="11"/>
      <c r="F297" s="8" t="str">
        <f>IF(C297="","",IFERROR(INDEX(Lists!$C$2:$C$17,MATCH(C297,Lists!$A$2:$A$17,0)),"?"))</f>
        <v/>
      </c>
    </row>
    <row r="298" spans="1:6" x14ac:dyDescent="0.35">
      <c r="A298" s="10"/>
      <c r="B298" s="9"/>
      <c r="C298" s="9"/>
      <c r="D298" s="9"/>
      <c r="E298" s="11"/>
      <c r="F298" s="8" t="str">
        <f>IF(C298="","",IFERROR(INDEX(Lists!$C$2:$C$17,MATCH(C298,Lists!$A$2:$A$17,0)),"?"))</f>
        <v/>
      </c>
    </row>
    <row r="299" spans="1:6" x14ac:dyDescent="0.35">
      <c r="A299" s="10"/>
      <c r="B299" s="9"/>
      <c r="C299" s="9"/>
      <c r="D299" s="9"/>
      <c r="E299" s="11"/>
      <c r="F299" s="8" t="str">
        <f>IF(C299="","",IFERROR(INDEX(Lists!$C$2:$C$17,MATCH(C299,Lists!$A$2:$A$17,0)),"?"))</f>
        <v/>
      </c>
    </row>
    <row r="300" spans="1:6" x14ac:dyDescent="0.35">
      <c r="A300" s="10"/>
      <c r="B300" s="9"/>
      <c r="C300" s="9"/>
      <c r="D300" s="9"/>
      <c r="E300" s="11"/>
      <c r="F300" s="8" t="str">
        <f>IF(C300="","",IFERROR(INDEX(Lists!$C$2:$C$17,MATCH(C300,Lists!$A$2:$A$17,0)),"?"))</f>
        <v/>
      </c>
    </row>
    <row r="301" spans="1:6" x14ac:dyDescent="0.35">
      <c r="A301" s="10"/>
      <c r="B301" s="9"/>
      <c r="C301" s="9"/>
      <c r="D301" s="9"/>
      <c r="E301" s="11"/>
      <c r="F301" s="8" t="str">
        <f>IF(C301="","",IFERROR(INDEX(Lists!$C$2:$C$17,MATCH(C301,Lists!$A$2:$A$17,0)),"?"))</f>
        <v/>
      </c>
    </row>
    <row r="302" spans="1:6" x14ac:dyDescent="0.35">
      <c r="A302" s="10"/>
      <c r="B302" s="9"/>
      <c r="C302" s="9"/>
      <c r="D302" s="9"/>
      <c r="E302" s="11"/>
      <c r="F302" s="8" t="str">
        <f>IF(C302="","",IFERROR(INDEX(Lists!$C$2:$C$17,MATCH(C302,Lists!$A$2:$A$17,0)),"?"))</f>
        <v/>
      </c>
    </row>
    <row r="303" spans="1:6" x14ac:dyDescent="0.35">
      <c r="A303" s="10"/>
      <c r="B303" s="9"/>
      <c r="C303" s="9"/>
      <c r="D303" s="9"/>
      <c r="E303" s="11"/>
      <c r="F303" s="8" t="str">
        <f>IF(C303="","",IFERROR(INDEX(Lists!$C$2:$C$17,MATCH(C303,Lists!$A$2:$A$17,0)),"?"))</f>
        <v/>
      </c>
    </row>
    <row r="304" spans="1:6" x14ac:dyDescent="0.35">
      <c r="A304" s="10"/>
      <c r="B304" s="9"/>
      <c r="C304" s="9"/>
      <c r="D304" s="9"/>
      <c r="E304" s="11"/>
      <c r="F304" s="8" t="str">
        <f>IF(C304="","",IFERROR(INDEX(Lists!$C$2:$C$17,MATCH(C304,Lists!$A$2:$A$17,0)),"?"))</f>
        <v/>
      </c>
    </row>
    <row r="305" spans="1:6" x14ac:dyDescent="0.35">
      <c r="A305" s="10"/>
      <c r="B305" s="9"/>
      <c r="C305" s="9"/>
      <c r="D305" s="9"/>
      <c r="E305" s="11"/>
      <c r="F305" s="8" t="str">
        <f>IF(C305="","",IFERROR(INDEX(Lists!$C$2:$C$17,MATCH(C305,Lists!$A$2:$A$17,0)),"?"))</f>
        <v/>
      </c>
    </row>
    <row r="306" spans="1:6" x14ac:dyDescent="0.35">
      <c r="A306" s="10"/>
      <c r="B306" s="9"/>
      <c r="C306" s="9"/>
      <c r="D306" s="9"/>
      <c r="E306" s="11"/>
      <c r="F306" s="8" t="str">
        <f>IF(C306="","",IFERROR(INDEX(Lists!$C$2:$C$17,MATCH(C306,Lists!$A$2:$A$17,0)),"?"))</f>
        <v/>
      </c>
    </row>
    <row r="307" spans="1:6" x14ac:dyDescent="0.35">
      <c r="A307" s="10"/>
      <c r="B307" s="9"/>
      <c r="C307" s="9"/>
      <c r="D307" s="9"/>
      <c r="E307" s="11"/>
      <c r="F307" s="8" t="str">
        <f>IF(C307="","",IFERROR(INDEX(Lists!$C$2:$C$17,MATCH(C307,Lists!$A$2:$A$17,0)),"?"))</f>
        <v/>
      </c>
    </row>
    <row r="308" spans="1:6" x14ac:dyDescent="0.35">
      <c r="A308" s="10"/>
      <c r="B308" s="9"/>
      <c r="C308" s="9"/>
      <c r="D308" s="9"/>
      <c r="E308" s="11"/>
      <c r="F308" s="8" t="str">
        <f>IF(C308="","",IFERROR(INDEX(Lists!$C$2:$C$17,MATCH(C308,Lists!$A$2:$A$17,0)),"?"))</f>
        <v/>
      </c>
    </row>
    <row r="309" spans="1:6" x14ac:dyDescent="0.35">
      <c r="A309" s="10"/>
      <c r="B309" s="9"/>
      <c r="C309" s="9"/>
      <c r="D309" s="9"/>
      <c r="E309" s="11"/>
      <c r="F309" s="8" t="str">
        <f>IF(C309="","",IFERROR(INDEX(Lists!$C$2:$C$17,MATCH(C309,Lists!$A$2:$A$17,0)),"?"))</f>
        <v/>
      </c>
    </row>
    <row r="310" spans="1:6" x14ac:dyDescent="0.35">
      <c r="A310" s="10"/>
      <c r="B310" s="9"/>
      <c r="C310" s="9"/>
      <c r="D310" s="9"/>
      <c r="E310" s="11"/>
      <c r="F310" s="8" t="str">
        <f>IF(C310="","",IFERROR(INDEX(Lists!$C$2:$C$17,MATCH(C310,Lists!$A$2:$A$17,0)),"?"))</f>
        <v/>
      </c>
    </row>
    <row r="311" spans="1:6" x14ac:dyDescent="0.35">
      <c r="A311" s="10"/>
      <c r="B311" s="9"/>
      <c r="C311" s="9"/>
      <c r="D311" s="9"/>
      <c r="E311" s="11"/>
      <c r="F311" s="8" t="str">
        <f>IF(C311="","",IFERROR(INDEX(Lists!$C$2:$C$17,MATCH(C311,Lists!$A$2:$A$17,0)),"?"))</f>
        <v/>
      </c>
    </row>
    <row r="312" spans="1:6" x14ac:dyDescent="0.35">
      <c r="A312" s="10"/>
      <c r="B312" s="9"/>
      <c r="C312" s="9"/>
      <c r="D312" s="9"/>
      <c r="E312" s="11"/>
      <c r="F312" s="8" t="str">
        <f>IF(C312="","",IFERROR(INDEX(Lists!$C$2:$C$17,MATCH(C312,Lists!$A$2:$A$17,0)),"?"))</f>
        <v/>
      </c>
    </row>
    <row r="313" spans="1:6" x14ac:dyDescent="0.35">
      <c r="A313" s="10"/>
      <c r="B313" s="9"/>
      <c r="C313" s="9"/>
      <c r="D313" s="9"/>
      <c r="E313" s="11"/>
      <c r="F313" s="8" t="str">
        <f>IF(C313="","",IFERROR(INDEX(Lists!$C$2:$C$17,MATCH(C313,Lists!$A$2:$A$17,0)),"?"))</f>
        <v/>
      </c>
    </row>
    <row r="314" spans="1:6" x14ac:dyDescent="0.35">
      <c r="A314" s="10"/>
      <c r="B314" s="9"/>
      <c r="C314" s="9"/>
      <c r="D314" s="9"/>
      <c r="E314" s="11"/>
      <c r="F314" s="8" t="str">
        <f>IF(C314="","",IFERROR(INDEX(Lists!$C$2:$C$17,MATCH(C314,Lists!$A$2:$A$17,0)),"?"))</f>
        <v/>
      </c>
    </row>
    <row r="315" spans="1:6" x14ac:dyDescent="0.35">
      <c r="A315" s="10"/>
      <c r="B315" s="9"/>
      <c r="C315" s="9"/>
      <c r="D315" s="9"/>
      <c r="E315" s="11"/>
      <c r="F315" s="8" t="str">
        <f>IF(C315="","",IFERROR(INDEX(Lists!$C$2:$C$17,MATCH(C315,Lists!$A$2:$A$17,0)),"?"))</f>
        <v/>
      </c>
    </row>
    <row r="316" spans="1:6" x14ac:dyDescent="0.35">
      <c r="A316" s="10"/>
      <c r="B316" s="9"/>
      <c r="C316" s="9"/>
      <c r="D316" s="9"/>
      <c r="E316" s="11"/>
      <c r="F316" s="8" t="str">
        <f>IF(C316="","",IFERROR(INDEX(Lists!$C$2:$C$17,MATCH(C316,Lists!$A$2:$A$17,0)),"?"))</f>
        <v/>
      </c>
    </row>
    <row r="317" spans="1:6" x14ac:dyDescent="0.35">
      <c r="A317" s="10"/>
      <c r="B317" s="9"/>
      <c r="C317" s="9"/>
      <c r="D317" s="9"/>
      <c r="E317" s="11"/>
      <c r="F317" s="8" t="str">
        <f>IF(C317="","",IFERROR(INDEX(Lists!$C$2:$C$17,MATCH(C317,Lists!$A$2:$A$17,0)),"?"))</f>
        <v/>
      </c>
    </row>
    <row r="318" spans="1:6" x14ac:dyDescent="0.35">
      <c r="A318" s="10"/>
      <c r="B318" s="9"/>
      <c r="C318" s="9"/>
      <c r="D318" s="9"/>
      <c r="E318" s="11"/>
      <c r="F318" s="8" t="str">
        <f>IF(C318="","",IFERROR(INDEX(Lists!$C$2:$C$17,MATCH(C318,Lists!$A$2:$A$17,0)),"?"))</f>
        <v/>
      </c>
    </row>
    <row r="319" spans="1:6" x14ac:dyDescent="0.35">
      <c r="A319" s="10"/>
      <c r="B319" s="9"/>
      <c r="C319" s="9"/>
      <c r="D319" s="9"/>
      <c r="E319" s="11"/>
      <c r="F319" s="8" t="str">
        <f>IF(C319="","",IFERROR(INDEX(Lists!$C$2:$C$17,MATCH(C319,Lists!$A$2:$A$17,0)),"?"))</f>
        <v/>
      </c>
    </row>
    <row r="320" spans="1:6" x14ac:dyDescent="0.35">
      <c r="A320" s="10"/>
      <c r="B320" s="9"/>
      <c r="C320" s="9"/>
      <c r="D320" s="9"/>
      <c r="E320" s="11"/>
      <c r="F320" s="8" t="str">
        <f>IF(C320="","",IFERROR(INDEX(Lists!$C$2:$C$17,MATCH(C320,Lists!$A$2:$A$17,0)),"?"))</f>
        <v/>
      </c>
    </row>
    <row r="321" spans="1:6" x14ac:dyDescent="0.35">
      <c r="A321" s="10"/>
      <c r="B321" s="9"/>
      <c r="C321" s="9"/>
      <c r="D321" s="9"/>
      <c r="E321" s="11"/>
      <c r="F321" s="8" t="str">
        <f>IF(C321="","",IFERROR(INDEX(Lists!$C$2:$C$17,MATCH(C321,Lists!$A$2:$A$17,0)),"?"))</f>
        <v/>
      </c>
    </row>
    <row r="322" spans="1:6" x14ac:dyDescent="0.35">
      <c r="A322" s="10"/>
      <c r="B322" s="9"/>
      <c r="C322" s="9"/>
      <c r="D322" s="9"/>
      <c r="E322" s="11"/>
      <c r="F322" s="8" t="str">
        <f>IF(C322="","",IFERROR(INDEX(Lists!$C$2:$C$17,MATCH(C322,Lists!$A$2:$A$17,0)),"?"))</f>
        <v/>
      </c>
    </row>
    <row r="323" spans="1:6" x14ac:dyDescent="0.35">
      <c r="A323" s="10"/>
      <c r="B323" s="9"/>
      <c r="C323" s="9"/>
      <c r="D323" s="9"/>
      <c r="E323" s="11"/>
      <c r="F323" s="8" t="str">
        <f>IF(C323="","",IFERROR(INDEX(Lists!$C$2:$C$17,MATCH(C323,Lists!$A$2:$A$17,0)),"?"))</f>
        <v/>
      </c>
    </row>
    <row r="324" spans="1:6" x14ac:dyDescent="0.35">
      <c r="A324" s="10"/>
      <c r="B324" s="9"/>
      <c r="C324" s="9"/>
      <c r="D324" s="9"/>
      <c r="E324" s="11"/>
      <c r="F324" s="8" t="str">
        <f>IF(C324="","",IFERROR(INDEX(Lists!$C$2:$C$17,MATCH(C324,Lists!$A$2:$A$17,0)),"?"))</f>
        <v/>
      </c>
    </row>
    <row r="325" spans="1:6" x14ac:dyDescent="0.35">
      <c r="A325" s="10"/>
      <c r="B325" s="9"/>
      <c r="C325" s="9"/>
      <c r="D325" s="9"/>
      <c r="E325" s="11"/>
      <c r="F325" s="8" t="str">
        <f>IF(C325="","",IFERROR(INDEX(Lists!$C$2:$C$17,MATCH(C325,Lists!$A$2:$A$17,0)),"?"))</f>
        <v/>
      </c>
    </row>
    <row r="326" spans="1:6" x14ac:dyDescent="0.35">
      <c r="A326" s="10"/>
      <c r="B326" s="9"/>
      <c r="C326" s="9"/>
      <c r="D326" s="9"/>
      <c r="E326" s="11"/>
      <c r="F326" s="8" t="str">
        <f>IF(C326="","",IFERROR(INDEX(Lists!$C$2:$C$17,MATCH(C326,Lists!$A$2:$A$17,0)),"?"))</f>
        <v/>
      </c>
    </row>
    <row r="327" spans="1:6" x14ac:dyDescent="0.35">
      <c r="A327" s="10"/>
      <c r="B327" s="9"/>
      <c r="C327" s="9"/>
      <c r="D327" s="9"/>
      <c r="E327" s="11"/>
      <c r="F327" s="8" t="str">
        <f>IF(C327="","",IFERROR(INDEX(Lists!$C$2:$C$17,MATCH(C327,Lists!$A$2:$A$17,0)),"?"))</f>
        <v/>
      </c>
    </row>
    <row r="328" spans="1:6" x14ac:dyDescent="0.35">
      <c r="A328" s="10"/>
      <c r="B328" s="9"/>
      <c r="C328" s="9"/>
      <c r="D328" s="9"/>
      <c r="E328" s="11"/>
      <c r="F328" s="8" t="str">
        <f>IF(C328="","",IFERROR(INDEX(Lists!$C$2:$C$17,MATCH(C328,Lists!$A$2:$A$17,0)),"?"))</f>
        <v/>
      </c>
    </row>
    <row r="329" spans="1:6" x14ac:dyDescent="0.35">
      <c r="A329" s="10"/>
      <c r="B329" s="9"/>
      <c r="C329" s="9"/>
      <c r="D329" s="9"/>
      <c r="E329" s="11"/>
      <c r="F329" s="8" t="str">
        <f>IF(C329="","",IFERROR(INDEX(Lists!$C$2:$C$17,MATCH(C329,Lists!$A$2:$A$17,0)),"?"))</f>
        <v/>
      </c>
    </row>
    <row r="330" spans="1:6" x14ac:dyDescent="0.35">
      <c r="A330" s="10"/>
      <c r="B330" s="9"/>
      <c r="C330" s="9"/>
      <c r="D330" s="9"/>
      <c r="E330" s="11"/>
      <c r="F330" s="8" t="str">
        <f>IF(C330="","",IFERROR(INDEX(Lists!$C$2:$C$17,MATCH(C330,Lists!$A$2:$A$17,0)),"?"))</f>
        <v/>
      </c>
    </row>
    <row r="331" spans="1:6" x14ac:dyDescent="0.35">
      <c r="A331" s="10"/>
      <c r="B331" s="9"/>
      <c r="C331" s="9"/>
      <c r="D331" s="9"/>
      <c r="E331" s="11"/>
      <c r="F331" s="8" t="str">
        <f>IF(C331="","",IFERROR(INDEX(Lists!$C$2:$C$17,MATCH(C331,Lists!$A$2:$A$17,0)),"?"))</f>
        <v/>
      </c>
    </row>
    <row r="332" spans="1:6" x14ac:dyDescent="0.35">
      <c r="A332" s="10"/>
      <c r="B332" s="9"/>
      <c r="C332" s="9"/>
      <c r="D332" s="9"/>
      <c r="E332" s="11"/>
      <c r="F332" s="8" t="str">
        <f>IF(C332="","",IFERROR(INDEX(Lists!$C$2:$C$17,MATCH(C332,Lists!$A$2:$A$17,0)),"?"))</f>
        <v/>
      </c>
    </row>
    <row r="333" spans="1:6" x14ac:dyDescent="0.35">
      <c r="A333" s="10"/>
      <c r="B333" s="9"/>
      <c r="C333" s="9"/>
      <c r="D333" s="9"/>
      <c r="E333" s="11"/>
      <c r="F333" s="8" t="str">
        <f>IF(C333="","",IFERROR(INDEX(Lists!$C$2:$C$17,MATCH(C333,Lists!$A$2:$A$17,0)),"?"))</f>
        <v/>
      </c>
    </row>
    <row r="334" spans="1:6" x14ac:dyDescent="0.35">
      <c r="A334" s="10"/>
      <c r="B334" s="9"/>
      <c r="C334" s="9"/>
      <c r="D334" s="9"/>
      <c r="E334" s="11"/>
      <c r="F334" s="8" t="str">
        <f>IF(C334="","",IFERROR(INDEX(Lists!$C$2:$C$17,MATCH(C334,Lists!$A$2:$A$17,0)),"?"))</f>
        <v/>
      </c>
    </row>
    <row r="335" spans="1:6" x14ac:dyDescent="0.35">
      <c r="A335" s="10"/>
      <c r="B335" s="9"/>
      <c r="C335" s="9"/>
      <c r="D335" s="9"/>
      <c r="E335" s="11"/>
      <c r="F335" s="8" t="str">
        <f>IF(C335="","",IFERROR(INDEX(Lists!$C$2:$C$17,MATCH(C335,Lists!$A$2:$A$17,0)),"?"))</f>
        <v/>
      </c>
    </row>
    <row r="336" spans="1:6" x14ac:dyDescent="0.35">
      <c r="A336" s="10"/>
      <c r="B336" s="9"/>
      <c r="C336" s="9"/>
      <c r="D336" s="9"/>
      <c r="E336" s="11"/>
      <c r="F336" s="8" t="str">
        <f>IF(C336="","",IFERROR(INDEX(Lists!$C$2:$C$17,MATCH(C336,Lists!$A$2:$A$17,0)),"?"))</f>
        <v/>
      </c>
    </row>
    <row r="337" spans="1:6" x14ac:dyDescent="0.35">
      <c r="A337" s="10"/>
      <c r="B337" s="9"/>
      <c r="C337" s="9"/>
      <c r="D337" s="9"/>
      <c r="E337" s="11"/>
      <c r="F337" s="8" t="str">
        <f>IF(C337="","",IFERROR(INDEX(Lists!$C$2:$C$17,MATCH(C337,Lists!$A$2:$A$17,0)),"?"))</f>
        <v/>
      </c>
    </row>
    <row r="338" spans="1:6" x14ac:dyDescent="0.35">
      <c r="A338" s="10"/>
      <c r="B338" s="9"/>
      <c r="C338" s="9"/>
      <c r="D338" s="9"/>
      <c r="E338" s="11"/>
      <c r="F338" s="8" t="str">
        <f>IF(C338="","",IFERROR(INDEX(Lists!$C$2:$C$17,MATCH(C338,Lists!$A$2:$A$17,0)),"?"))</f>
        <v/>
      </c>
    </row>
    <row r="339" spans="1:6" x14ac:dyDescent="0.35">
      <c r="A339" s="10"/>
      <c r="B339" s="9"/>
      <c r="C339" s="9"/>
      <c r="D339" s="9"/>
      <c r="E339" s="11"/>
      <c r="F339" s="8" t="str">
        <f>IF(C339="","",IFERROR(INDEX(Lists!$C$2:$C$17,MATCH(C339,Lists!$A$2:$A$17,0)),"?"))</f>
        <v/>
      </c>
    </row>
    <row r="340" spans="1:6" x14ac:dyDescent="0.35">
      <c r="A340" s="10"/>
      <c r="B340" s="9"/>
      <c r="C340" s="9"/>
      <c r="D340" s="9"/>
      <c r="E340" s="11"/>
      <c r="F340" s="8" t="str">
        <f>IF(C340="","",IFERROR(INDEX(Lists!$C$2:$C$17,MATCH(C340,Lists!$A$2:$A$17,0)),"?"))</f>
        <v/>
      </c>
    </row>
    <row r="341" spans="1:6" x14ac:dyDescent="0.35">
      <c r="A341" s="10"/>
      <c r="B341" s="9"/>
      <c r="C341" s="9"/>
      <c r="D341" s="9"/>
      <c r="E341" s="11"/>
      <c r="F341" s="8" t="str">
        <f>IF(C341="","",IFERROR(INDEX(Lists!$C$2:$C$17,MATCH(C341,Lists!$A$2:$A$17,0)),"?"))</f>
        <v/>
      </c>
    </row>
    <row r="342" spans="1:6" x14ac:dyDescent="0.35">
      <c r="A342" s="10"/>
      <c r="B342" s="9"/>
      <c r="C342" s="9"/>
      <c r="D342" s="9"/>
      <c r="E342" s="11"/>
      <c r="F342" s="8" t="str">
        <f>IF(C342="","",IFERROR(INDEX(Lists!$C$2:$C$17,MATCH(C342,Lists!$A$2:$A$17,0)),"?"))</f>
        <v/>
      </c>
    </row>
    <row r="343" spans="1:6" x14ac:dyDescent="0.35">
      <c r="A343" s="10"/>
      <c r="B343" s="9"/>
      <c r="C343" s="9"/>
      <c r="D343" s="9"/>
      <c r="E343" s="11"/>
      <c r="F343" s="8" t="str">
        <f>IF(C343="","",IFERROR(INDEX(Lists!$C$2:$C$17,MATCH(C343,Lists!$A$2:$A$17,0)),"?"))</f>
        <v/>
      </c>
    </row>
    <row r="344" spans="1:6" x14ac:dyDescent="0.35">
      <c r="A344" s="10"/>
      <c r="B344" s="9"/>
      <c r="C344" s="9"/>
      <c r="D344" s="9"/>
      <c r="E344" s="11"/>
      <c r="F344" s="8" t="str">
        <f>IF(C344="","",IFERROR(INDEX(Lists!$C$2:$C$17,MATCH(C344,Lists!$A$2:$A$17,0)),"?"))</f>
        <v/>
      </c>
    </row>
    <row r="345" spans="1:6" x14ac:dyDescent="0.35">
      <c r="A345" s="10"/>
      <c r="B345" s="9"/>
      <c r="C345" s="9"/>
      <c r="D345" s="9"/>
      <c r="E345" s="11"/>
      <c r="F345" s="8" t="str">
        <f>IF(C345="","",IFERROR(INDEX(Lists!$C$2:$C$17,MATCH(C345,Lists!$A$2:$A$17,0)),"?"))</f>
        <v/>
      </c>
    </row>
    <row r="346" spans="1:6" x14ac:dyDescent="0.35">
      <c r="A346" s="10"/>
      <c r="B346" s="9"/>
      <c r="C346" s="9"/>
      <c r="D346" s="9"/>
      <c r="E346" s="11"/>
      <c r="F346" s="8" t="str">
        <f>IF(C346="","",IFERROR(INDEX(Lists!$C$2:$C$17,MATCH(C346,Lists!$A$2:$A$17,0)),"?"))</f>
        <v/>
      </c>
    </row>
    <row r="347" spans="1:6" x14ac:dyDescent="0.35">
      <c r="A347" s="10"/>
      <c r="B347" s="9"/>
      <c r="C347" s="9"/>
      <c r="D347" s="9"/>
      <c r="E347" s="11"/>
      <c r="F347" s="8" t="str">
        <f>IF(C347="","",IFERROR(INDEX(Lists!$C$2:$C$17,MATCH(C347,Lists!$A$2:$A$17,0)),"?"))</f>
        <v/>
      </c>
    </row>
    <row r="348" spans="1:6" x14ac:dyDescent="0.35">
      <c r="A348" s="10"/>
      <c r="B348" s="9"/>
      <c r="C348" s="9"/>
      <c r="D348" s="9"/>
      <c r="E348" s="11"/>
      <c r="F348" s="8" t="str">
        <f>IF(C348="","",IFERROR(INDEX(Lists!$C$2:$C$17,MATCH(C348,Lists!$A$2:$A$17,0)),"?"))</f>
        <v/>
      </c>
    </row>
    <row r="349" spans="1:6" x14ac:dyDescent="0.35">
      <c r="A349" s="10"/>
      <c r="B349" s="9"/>
      <c r="C349" s="9"/>
      <c r="D349" s="9"/>
      <c r="E349" s="11"/>
      <c r="F349" s="8" t="str">
        <f>IF(C349="","",IFERROR(INDEX(Lists!$C$2:$C$17,MATCH(C349,Lists!$A$2:$A$17,0)),"?"))</f>
        <v/>
      </c>
    </row>
    <row r="350" spans="1:6" x14ac:dyDescent="0.35">
      <c r="A350" s="10"/>
      <c r="B350" s="9"/>
      <c r="C350" s="9"/>
      <c r="D350" s="9"/>
      <c r="E350" s="11"/>
      <c r="F350" s="8" t="str">
        <f>IF(C350="","",IFERROR(INDEX(Lists!$C$2:$C$17,MATCH(C350,Lists!$A$2:$A$17,0)),"?"))</f>
        <v/>
      </c>
    </row>
    <row r="351" spans="1:6" x14ac:dyDescent="0.35">
      <c r="A351" s="10"/>
      <c r="B351" s="9"/>
      <c r="C351" s="9"/>
      <c r="D351" s="9"/>
      <c r="E351" s="11"/>
      <c r="F351" s="8" t="str">
        <f>IF(C351="","",IFERROR(INDEX(Lists!$C$2:$C$17,MATCH(C351,Lists!$A$2:$A$17,0)),"?"))</f>
        <v/>
      </c>
    </row>
    <row r="352" spans="1:6" x14ac:dyDescent="0.35">
      <c r="A352" s="10"/>
      <c r="B352" s="9"/>
      <c r="C352" s="9"/>
      <c r="D352" s="9"/>
      <c r="E352" s="11"/>
      <c r="F352" s="8" t="str">
        <f>IF(C352="","",IFERROR(INDEX(Lists!$C$2:$C$17,MATCH(C352,Lists!$A$2:$A$17,0)),"?"))</f>
        <v/>
      </c>
    </row>
    <row r="353" spans="1:6" x14ac:dyDescent="0.35">
      <c r="A353" s="10"/>
      <c r="B353" s="9"/>
      <c r="C353" s="9"/>
      <c r="D353" s="9"/>
      <c r="E353" s="11"/>
      <c r="F353" s="8" t="str">
        <f>IF(C353="","",IFERROR(INDEX(Lists!$C$2:$C$17,MATCH(C353,Lists!$A$2:$A$17,0)),"?"))</f>
        <v/>
      </c>
    </row>
    <row r="354" spans="1:6" x14ac:dyDescent="0.35">
      <c r="A354" s="10"/>
      <c r="B354" s="9"/>
      <c r="C354" s="9"/>
      <c r="D354" s="9"/>
      <c r="E354" s="11"/>
      <c r="F354" s="8" t="str">
        <f>IF(C354="","",IFERROR(INDEX(Lists!$C$2:$C$17,MATCH(C354,Lists!$A$2:$A$17,0)),"?"))</f>
        <v/>
      </c>
    </row>
    <row r="355" spans="1:6" x14ac:dyDescent="0.35">
      <c r="A355" s="10"/>
      <c r="B355" s="9"/>
      <c r="C355" s="9"/>
      <c r="D355" s="9"/>
      <c r="E355" s="11"/>
      <c r="F355" s="8" t="str">
        <f>IF(C355="","",IFERROR(INDEX(Lists!$C$2:$C$17,MATCH(C355,Lists!$A$2:$A$17,0)),"?"))</f>
        <v/>
      </c>
    </row>
    <row r="356" spans="1:6" x14ac:dyDescent="0.35">
      <c r="A356" s="10"/>
      <c r="B356" s="9"/>
      <c r="C356" s="9"/>
      <c r="D356" s="9"/>
      <c r="E356" s="11"/>
      <c r="F356" s="8" t="str">
        <f>IF(C356="","",IFERROR(INDEX(Lists!$C$2:$C$17,MATCH(C356,Lists!$A$2:$A$17,0)),"?"))</f>
        <v/>
      </c>
    </row>
    <row r="357" spans="1:6" x14ac:dyDescent="0.35">
      <c r="A357" s="10"/>
      <c r="B357" s="9"/>
      <c r="C357" s="9"/>
      <c r="D357" s="9"/>
      <c r="E357" s="11"/>
      <c r="F357" s="8" t="str">
        <f>IF(C357="","",IFERROR(INDEX(Lists!$C$2:$C$17,MATCH(C357,Lists!$A$2:$A$17,0)),"?"))</f>
        <v/>
      </c>
    </row>
    <row r="358" spans="1:6" x14ac:dyDescent="0.35">
      <c r="A358" s="10"/>
      <c r="B358" s="9"/>
      <c r="C358" s="9"/>
      <c r="D358" s="9"/>
      <c r="E358" s="11"/>
      <c r="F358" s="8" t="str">
        <f>IF(C358="","",IFERROR(INDEX(Lists!$C$2:$C$17,MATCH(C358,Lists!$A$2:$A$17,0)),"?"))</f>
        <v/>
      </c>
    </row>
    <row r="359" spans="1:6" x14ac:dyDescent="0.35">
      <c r="A359" s="10"/>
      <c r="B359" s="9"/>
      <c r="C359" s="9"/>
      <c r="D359" s="9"/>
      <c r="E359" s="11"/>
      <c r="F359" s="8" t="str">
        <f>IF(C359="","",IFERROR(INDEX(Lists!$C$2:$C$17,MATCH(C359,Lists!$A$2:$A$17,0)),"?"))</f>
        <v/>
      </c>
    </row>
    <row r="360" spans="1:6" x14ac:dyDescent="0.35">
      <c r="A360" s="10"/>
      <c r="B360" s="9"/>
      <c r="C360" s="9"/>
      <c r="D360" s="9"/>
      <c r="E360" s="11"/>
      <c r="F360" s="8" t="str">
        <f>IF(C360="","",IFERROR(INDEX(Lists!$C$2:$C$17,MATCH(C360,Lists!$A$2:$A$17,0)),"?"))</f>
        <v/>
      </c>
    </row>
    <row r="361" spans="1:6" x14ac:dyDescent="0.35">
      <c r="A361" s="10"/>
      <c r="B361" s="9"/>
      <c r="C361" s="9"/>
      <c r="D361" s="9"/>
      <c r="E361" s="11"/>
      <c r="F361" s="8" t="str">
        <f>IF(C361="","",IFERROR(INDEX(Lists!$C$2:$C$17,MATCH(C361,Lists!$A$2:$A$17,0)),"?"))</f>
        <v/>
      </c>
    </row>
    <row r="362" spans="1:6" x14ac:dyDescent="0.35">
      <c r="A362" s="10"/>
      <c r="B362" s="9"/>
      <c r="C362" s="9"/>
      <c r="D362" s="9"/>
      <c r="E362" s="11"/>
      <c r="F362" s="8" t="str">
        <f>IF(C362="","",IFERROR(INDEX(Lists!$C$2:$C$17,MATCH(C362,Lists!$A$2:$A$17,0)),"?"))</f>
        <v/>
      </c>
    </row>
    <row r="363" spans="1:6" x14ac:dyDescent="0.35">
      <c r="A363" s="10"/>
      <c r="B363" s="9"/>
      <c r="C363" s="9"/>
      <c r="D363" s="9"/>
      <c r="E363" s="11"/>
      <c r="F363" s="8" t="str">
        <f>IF(C363="","",IFERROR(INDEX(Lists!$C$2:$C$17,MATCH(C363,Lists!$A$2:$A$17,0)),"?"))</f>
        <v/>
      </c>
    </row>
    <row r="364" spans="1:6" x14ac:dyDescent="0.35">
      <c r="A364" s="10"/>
      <c r="B364" s="9"/>
      <c r="C364" s="9"/>
      <c r="D364" s="9"/>
      <c r="E364" s="11"/>
      <c r="F364" s="8" t="str">
        <f>IF(C364="","",IFERROR(INDEX(Lists!$C$2:$C$17,MATCH(C364,Lists!$A$2:$A$17,0)),"?"))</f>
        <v/>
      </c>
    </row>
    <row r="365" spans="1:6" x14ac:dyDescent="0.35">
      <c r="A365" s="10"/>
      <c r="B365" s="9"/>
      <c r="C365" s="9"/>
      <c r="D365" s="9"/>
      <c r="E365" s="11"/>
      <c r="F365" s="8" t="str">
        <f>IF(C365="","",IFERROR(INDEX(Lists!$C$2:$C$17,MATCH(C365,Lists!$A$2:$A$17,0)),"?"))</f>
        <v/>
      </c>
    </row>
    <row r="366" spans="1:6" x14ac:dyDescent="0.35">
      <c r="A366" s="10"/>
      <c r="B366" s="9"/>
      <c r="C366" s="9"/>
      <c r="D366" s="9"/>
      <c r="E366" s="11"/>
      <c r="F366" s="8" t="str">
        <f>IF(C366="","",IFERROR(INDEX(Lists!$C$2:$C$17,MATCH(C366,Lists!$A$2:$A$17,0)),"?"))</f>
        <v/>
      </c>
    </row>
    <row r="367" spans="1:6" x14ac:dyDescent="0.35">
      <c r="A367" s="10"/>
      <c r="B367" s="9"/>
      <c r="C367" s="9"/>
      <c r="D367" s="9"/>
      <c r="E367" s="11"/>
      <c r="F367" s="8" t="str">
        <f>IF(C367="","",IFERROR(INDEX(Lists!$C$2:$C$17,MATCH(C367,Lists!$A$2:$A$17,0)),"?"))</f>
        <v/>
      </c>
    </row>
    <row r="368" spans="1:6" x14ac:dyDescent="0.35">
      <c r="A368" s="10"/>
      <c r="B368" s="9"/>
      <c r="C368" s="9"/>
      <c r="D368" s="9"/>
      <c r="E368" s="11"/>
      <c r="F368" s="8" t="str">
        <f>IF(C368="","",IFERROR(INDEX(Lists!$C$2:$C$17,MATCH(C368,Lists!$A$2:$A$17,0)),"?"))</f>
        <v/>
      </c>
    </row>
    <row r="369" spans="1:6" x14ac:dyDescent="0.35">
      <c r="A369" s="10"/>
      <c r="B369" s="9"/>
      <c r="C369" s="9"/>
      <c r="D369" s="9"/>
      <c r="E369" s="11"/>
      <c r="F369" s="8" t="str">
        <f>IF(C369="","",IFERROR(INDEX(Lists!$C$2:$C$17,MATCH(C369,Lists!$A$2:$A$17,0)),"?"))</f>
        <v/>
      </c>
    </row>
    <row r="370" spans="1:6" x14ac:dyDescent="0.35">
      <c r="A370" s="10"/>
      <c r="B370" s="9"/>
      <c r="C370" s="9"/>
      <c r="D370" s="9"/>
      <c r="E370" s="11"/>
      <c r="F370" s="8" t="str">
        <f>IF(C370="","",IFERROR(INDEX(Lists!$C$2:$C$17,MATCH(C370,Lists!$A$2:$A$17,0)),"?"))</f>
        <v/>
      </c>
    </row>
    <row r="371" spans="1:6" x14ac:dyDescent="0.35">
      <c r="A371" s="10"/>
      <c r="B371" s="9"/>
      <c r="C371" s="9"/>
      <c r="D371" s="9"/>
      <c r="E371" s="11"/>
      <c r="F371" s="8" t="str">
        <f>IF(C371="","",IFERROR(INDEX(Lists!$C$2:$C$17,MATCH(C371,Lists!$A$2:$A$17,0)),"?"))</f>
        <v/>
      </c>
    </row>
    <row r="372" spans="1:6" x14ac:dyDescent="0.35">
      <c r="A372" s="10"/>
      <c r="B372" s="9"/>
      <c r="C372" s="9"/>
      <c r="D372" s="9"/>
      <c r="E372" s="11"/>
      <c r="F372" s="8" t="str">
        <f>IF(C372="","",IFERROR(INDEX(Lists!$C$2:$C$17,MATCH(C372,Lists!$A$2:$A$17,0)),"?"))</f>
        <v/>
      </c>
    </row>
    <row r="373" spans="1:6" x14ac:dyDescent="0.35">
      <c r="A373" s="10"/>
      <c r="B373" s="9"/>
      <c r="C373" s="9"/>
      <c r="D373" s="9"/>
      <c r="E373" s="11"/>
      <c r="F373" s="8" t="str">
        <f>IF(C373="","",IFERROR(INDEX(Lists!$C$2:$C$17,MATCH(C373,Lists!$A$2:$A$17,0)),"?"))</f>
        <v/>
      </c>
    </row>
    <row r="374" spans="1:6" x14ac:dyDescent="0.35">
      <c r="A374" s="10"/>
      <c r="B374" s="9"/>
      <c r="C374" s="9"/>
      <c r="D374" s="9"/>
      <c r="E374" s="11"/>
      <c r="F374" s="8" t="str">
        <f>IF(C374="","",IFERROR(INDEX(Lists!$C$2:$C$17,MATCH(C374,Lists!$A$2:$A$17,0)),"?"))</f>
        <v/>
      </c>
    </row>
    <row r="375" spans="1:6" x14ac:dyDescent="0.35">
      <c r="A375" s="10"/>
      <c r="B375" s="9"/>
      <c r="C375" s="9"/>
      <c r="D375" s="9"/>
      <c r="E375" s="11"/>
      <c r="F375" s="8" t="str">
        <f>IF(C375="","",IFERROR(INDEX(Lists!$C$2:$C$17,MATCH(C375,Lists!$A$2:$A$17,0)),"?"))</f>
        <v/>
      </c>
    </row>
    <row r="376" spans="1:6" x14ac:dyDescent="0.35">
      <c r="A376" s="10"/>
      <c r="B376" s="9"/>
      <c r="C376" s="9"/>
      <c r="D376" s="9"/>
      <c r="E376" s="11"/>
      <c r="F376" s="8" t="str">
        <f>IF(C376="","",IFERROR(INDEX(Lists!$C$2:$C$17,MATCH(C376,Lists!$A$2:$A$17,0)),"?"))</f>
        <v/>
      </c>
    </row>
    <row r="377" spans="1:6" x14ac:dyDescent="0.35">
      <c r="A377" s="10"/>
      <c r="B377" s="9"/>
      <c r="C377" s="9"/>
      <c r="D377" s="9"/>
      <c r="E377" s="11"/>
      <c r="F377" s="8" t="str">
        <f>IF(C377="","",IFERROR(INDEX(Lists!$C$2:$C$17,MATCH(C377,Lists!$A$2:$A$17,0)),"?"))</f>
        <v/>
      </c>
    </row>
    <row r="378" spans="1:6" x14ac:dyDescent="0.35">
      <c r="A378" s="10"/>
      <c r="B378" s="9"/>
      <c r="C378" s="9"/>
      <c r="D378" s="9"/>
      <c r="E378" s="11"/>
      <c r="F378" s="8" t="str">
        <f>IF(C378="","",IFERROR(INDEX(Lists!$C$2:$C$17,MATCH(C378,Lists!$A$2:$A$17,0)),"?"))</f>
        <v/>
      </c>
    </row>
    <row r="379" spans="1:6" x14ac:dyDescent="0.35">
      <c r="A379" s="10"/>
      <c r="B379" s="9"/>
      <c r="C379" s="9"/>
      <c r="D379" s="9"/>
      <c r="E379" s="11"/>
      <c r="F379" s="8" t="str">
        <f>IF(C379="","",IFERROR(INDEX(Lists!$C$2:$C$17,MATCH(C379,Lists!$A$2:$A$17,0)),"?"))</f>
        <v/>
      </c>
    </row>
    <row r="380" spans="1:6" x14ac:dyDescent="0.35">
      <c r="A380" s="10"/>
      <c r="B380" s="9"/>
      <c r="C380" s="9"/>
      <c r="D380" s="9"/>
      <c r="E380" s="11"/>
      <c r="F380" s="8" t="str">
        <f>IF(C380="","",IFERROR(INDEX(Lists!$C$2:$C$17,MATCH(C380,Lists!$A$2:$A$17,0)),"?"))</f>
        <v/>
      </c>
    </row>
    <row r="381" spans="1:6" x14ac:dyDescent="0.35">
      <c r="A381" s="10"/>
      <c r="B381" s="9"/>
      <c r="C381" s="9"/>
      <c r="D381" s="9"/>
      <c r="E381" s="11"/>
      <c r="F381" s="8" t="str">
        <f>IF(C381="","",IFERROR(INDEX(Lists!$C$2:$C$17,MATCH(C381,Lists!$A$2:$A$17,0)),"?"))</f>
        <v/>
      </c>
    </row>
    <row r="382" spans="1:6" x14ac:dyDescent="0.35">
      <c r="A382" s="10"/>
      <c r="B382" s="9"/>
      <c r="C382" s="9"/>
      <c r="D382" s="9"/>
      <c r="E382" s="11"/>
      <c r="F382" s="8" t="str">
        <f>IF(C382="","",IFERROR(INDEX(Lists!$C$2:$C$17,MATCH(C382,Lists!$A$2:$A$17,0)),"?"))</f>
        <v/>
      </c>
    </row>
    <row r="383" spans="1:6" x14ac:dyDescent="0.35">
      <c r="A383" s="10"/>
      <c r="B383" s="9"/>
      <c r="C383" s="9"/>
      <c r="D383" s="9"/>
      <c r="E383" s="11"/>
      <c r="F383" s="8" t="str">
        <f>IF(C383="","",IFERROR(INDEX(Lists!$C$2:$C$17,MATCH(C383,Lists!$A$2:$A$17,0)),"?"))</f>
        <v/>
      </c>
    </row>
    <row r="384" spans="1:6" x14ac:dyDescent="0.35">
      <c r="A384" s="10"/>
      <c r="B384" s="9"/>
      <c r="C384" s="9"/>
      <c r="D384" s="9"/>
      <c r="E384" s="11"/>
      <c r="F384" s="8" t="str">
        <f>IF(C384="","",IFERROR(INDEX(Lists!$C$2:$C$17,MATCH(C384,Lists!$A$2:$A$17,0)),"?"))</f>
        <v/>
      </c>
    </row>
    <row r="385" spans="1:6" x14ac:dyDescent="0.35">
      <c r="A385" s="10"/>
      <c r="B385" s="9"/>
      <c r="C385" s="9"/>
      <c r="D385" s="9"/>
      <c r="E385" s="11"/>
      <c r="F385" s="8" t="str">
        <f>IF(C385="","",IFERROR(INDEX(Lists!$C$2:$C$17,MATCH(C385,Lists!$A$2:$A$17,0)),"?"))</f>
        <v/>
      </c>
    </row>
    <row r="386" spans="1:6" x14ac:dyDescent="0.35">
      <c r="A386" s="10"/>
      <c r="B386" s="9"/>
      <c r="C386" s="9"/>
      <c r="D386" s="9"/>
      <c r="E386" s="11"/>
      <c r="F386" s="8" t="str">
        <f>IF(C386="","",IFERROR(INDEX(Lists!$C$2:$C$17,MATCH(C386,Lists!$A$2:$A$17,0)),"?"))</f>
        <v/>
      </c>
    </row>
    <row r="387" spans="1:6" x14ac:dyDescent="0.35">
      <c r="A387" s="10"/>
      <c r="B387" s="9"/>
      <c r="C387" s="9"/>
      <c r="D387" s="9"/>
      <c r="E387" s="11"/>
      <c r="F387" s="8" t="str">
        <f>IF(C387="","",IFERROR(INDEX(Lists!$C$2:$C$17,MATCH(C387,Lists!$A$2:$A$17,0)),"?"))</f>
        <v/>
      </c>
    </row>
    <row r="388" spans="1:6" x14ac:dyDescent="0.35">
      <c r="A388" s="10"/>
      <c r="B388" s="9"/>
      <c r="C388" s="9"/>
      <c r="D388" s="9"/>
      <c r="E388" s="11"/>
      <c r="F388" s="8" t="str">
        <f>IF(C388="","",IFERROR(INDEX(Lists!$C$2:$C$17,MATCH(C388,Lists!$A$2:$A$17,0)),"?"))</f>
        <v/>
      </c>
    </row>
    <row r="389" spans="1:6" x14ac:dyDescent="0.35">
      <c r="A389" s="10"/>
      <c r="B389" s="9"/>
      <c r="C389" s="9"/>
      <c r="D389" s="9"/>
      <c r="E389" s="11"/>
      <c r="F389" s="8" t="str">
        <f>IF(C389="","",IFERROR(INDEX(Lists!$C$2:$C$17,MATCH(C389,Lists!$A$2:$A$17,0)),"?"))</f>
        <v/>
      </c>
    </row>
    <row r="390" spans="1:6" x14ac:dyDescent="0.35">
      <c r="A390" s="10"/>
      <c r="B390" s="9"/>
      <c r="C390" s="9"/>
      <c r="D390" s="9"/>
      <c r="E390" s="11"/>
      <c r="F390" s="8" t="str">
        <f>IF(C390="","",IFERROR(INDEX(Lists!$C$2:$C$17,MATCH(C390,Lists!$A$2:$A$17,0)),"?"))</f>
        <v/>
      </c>
    </row>
    <row r="391" spans="1:6" x14ac:dyDescent="0.35">
      <c r="A391" s="10"/>
      <c r="B391" s="9"/>
      <c r="C391" s="9"/>
      <c r="D391" s="9"/>
      <c r="E391" s="11"/>
      <c r="F391" s="8" t="str">
        <f>IF(C391="","",IFERROR(INDEX(Lists!$C$2:$C$17,MATCH(C391,Lists!$A$2:$A$17,0)),"?"))</f>
        <v/>
      </c>
    </row>
    <row r="392" spans="1:6" x14ac:dyDescent="0.35">
      <c r="A392" s="10"/>
      <c r="B392" s="9"/>
      <c r="C392" s="9"/>
      <c r="D392" s="9"/>
      <c r="E392" s="11"/>
      <c r="F392" s="8" t="str">
        <f>IF(C392="","",IFERROR(INDEX(Lists!$C$2:$C$17,MATCH(C392,Lists!$A$2:$A$17,0)),"?"))</f>
        <v/>
      </c>
    </row>
    <row r="393" spans="1:6" x14ac:dyDescent="0.35">
      <c r="A393" s="10"/>
      <c r="B393" s="9"/>
      <c r="C393" s="9"/>
      <c r="D393" s="9"/>
      <c r="E393" s="11"/>
      <c r="F393" s="8" t="str">
        <f>IF(C393="","",IFERROR(INDEX(Lists!$C$2:$C$17,MATCH(C393,Lists!$A$2:$A$17,0)),"?"))</f>
        <v/>
      </c>
    </row>
    <row r="394" spans="1:6" x14ac:dyDescent="0.35">
      <c r="A394" s="10"/>
      <c r="B394" s="9"/>
      <c r="C394" s="9"/>
      <c r="D394" s="9"/>
      <c r="E394" s="11"/>
      <c r="F394" s="8" t="str">
        <f>IF(C394="","",IFERROR(INDEX(Lists!$C$2:$C$17,MATCH(C394,Lists!$A$2:$A$17,0)),"?"))</f>
        <v/>
      </c>
    </row>
    <row r="395" spans="1:6" x14ac:dyDescent="0.35">
      <c r="A395" s="10"/>
      <c r="B395" s="9"/>
      <c r="C395" s="9"/>
      <c r="D395" s="9"/>
      <c r="E395" s="11"/>
      <c r="F395" s="8" t="str">
        <f>IF(C395="","",IFERROR(INDEX(Lists!$C$2:$C$17,MATCH(C395,Lists!$A$2:$A$17,0)),"?"))</f>
        <v/>
      </c>
    </row>
    <row r="396" spans="1:6" x14ac:dyDescent="0.35">
      <c r="A396" s="10"/>
      <c r="B396" s="9"/>
      <c r="C396" s="9"/>
      <c r="D396" s="9"/>
      <c r="E396" s="11"/>
      <c r="F396" s="8" t="str">
        <f>IF(C396="","",IFERROR(INDEX(Lists!$C$2:$C$17,MATCH(C396,Lists!$A$2:$A$17,0)),"?"))</f>
        <v/>
      </c>
    </row>
    <row r="397" spans="1:6" x14ac:dyDescent="0.35">
      <c r="A397" s="10"/>
      <c r="B397" s="9"/>
      <c r="C397" s="9"/>
      <c r="D397" s="9"/>
      <c r="E397" s="11"/>
      <c r="F397" s="8" t="str">
        <f>IF(C397="","",IFERROR(INDEX(Lists!$C$2:$C$17,MATCH(C397,Lists!$A$2:$A$17,0)),"?"))</f>
        <v/>
      </c>
    </row>
    <row r="398" spans="1:6" x14ac:dyDescent="0.35">
      <c r="A398" s="10"/>
      <c r="B398" s="9"/>
      <c r="C398" s="9"/>
      <c r="D398" s="9"/>
      <c r="E398" s="11"/>
      <c r="F398" s="8" t="str">
        <f>IF(C398="","",IFERROR(INDEX(Lists!$C$2:$C$17,MATCH(C398,Lists!$A$2:$A$17,0)),"?"))</f>
        <v/>
      </c>
    </row>
    <row r="399" spans="1:6" x14ac:dyDescent="0.35">
      <c r="A399" s="10"/>
      <c r="B399" s="9"/>
      <c r="C399" s="9"/>
      <c r="D399" s="9"/>
      <c r="E399" s="11"/>
      <c r="F399" s="8" t="str">
        <f>IF(C399="","",IFERROR(INDEX(Lists!$C$2:$C$17,MATCH(C399,Lists!$A$2:$A$17,0)),"?"))</f>
        <v/>
      </c>
    </row>
    <row r="400" spans="1:6" x14ac:dyDescent="0.35">
      <c r="A400" s="10"/>
      <c r="B400" s="9"/>
      <c r="C400" s="9"/>
      <c r="D400" s="9"/>
      <c r="E400" s="11"/>
      <c r="F400" s="8" t="str">
        <f>IF(C400="","",IFERROR(INDEX(Lists!$C$2:$C$17,MATCH(C400,Lists!$A$2:$A$17,0)),"?"))</f>
        <v/>
      </c>
    </row>
    <row r="401" spans="1:6" x14ac:dyDescent="0.35">
      <c r="A401" s="10"/>
      <c r="B401" s="9"/>
      <c r="C401" s="9"/>
      <c r="D401" s="9"/>
      <c r="E401" s="11"/>
      <c r="F401" s="8" t="str">
        <f>IF(C401="","",IFERROR(INDEX(Lists!$C$2:$C$17,MATCH(C401,Lists!$A$2:$A$17,0)),"?"))</f>
        <v/>
      </c>
    </row>
    <row r="402" spans="1:6" x14ac:dyDescent="0.35">
      <c r="A402" s="10"/>
      <c r="B402" s="9"/>
      <c r="C402" s="9"/>
      <c r="D402" s="9"/>
      <c r="E402" s="11"/>
      <c r="F402" s="8" t="str">
        <f>IF(C402="","",IFERROR(INDEX(Lists!$C$2:$C$17,MATCH(C402,Lists!$A$2:$A$17,0)),"?"))</f>
        <v/>
      </c>
    </row>
    <row r="403" spans="1:6" x14ac:dyDescent="0.35">
      <c r="A403" s="10"/>
      <c r="B403" s="9"/>
      <c r="C403" s="9"/>
      <c r="D403" s="9"/>
      <c r="E403" s="11"/>
      <c r="F403" s="8" t="str">
        <f>IF(C403="","",IFERROR(INDEX(Lists!$C$2:$C$17,MATCH(C403,Lists!$A$2:$A$17,0)),"?"))</f>
        <v/>
      </c>
    </row>
    <row r="404" spans="1:6" x14ac:dyDescent="0.35">
      <c r="A404" s="10"/>
      <c r="B404" s="9"/>
      <c r="C404" s="9"/>
      <c r="D404" s="9"/>
      <c r="E404" s="11"/>
      <c r="F404" s="8" t="str">
        <f>IF(C404="","",IFERROR(INDEX(Lists!$C$2:$C$17,MATCH(C404,Lists!$A$2:$A$17,0)),"?"))</f>
        <v/>
      </c>
    </row>
    <row r="405" spans="1:6" x14ac:dyDescent="0.35">
      <c r="A405" s="10"/>
      <c r="B405" s="9"/>
      <c r="C405" s="9"/>
      <c r="D405" s="9"/>
      <c r="E405" s="11"/>
      <c r="F405" s="8" t="str">
        <f>IF(C405="","",IFERROR(INDEX(Lists!$C$2:$C$17,MATCH(C405,Lists!$A$2:$A$17,0)),"?"))</f>
        <v/>
      </c>
    </row>
    <row r="406" spans="1:6" x14ac:dyDescent="0.35">
      <c r="A406" s="10"/>
      <c r="B406" s="9"/>
      <c r="C406" s="9"/>
      <c r="D406" s="9"/>
      <c r="E406" s="11"/>
      <c r="F406" s="8" t="str">
        <f>IF(C406="","",IFERROR(INDEX(Lists!$C$2:$C$17,MATCH(C406,Lists!$A$2:$A$17,0)),"?"))</f>
        <v/>
      </c>
    </row>
    <row r="407" spans="1:6" x14ac:dyDescent="0.35">
      <c r="A407" s="10"/>
      <c r="B407" s="9"/>
      <c r="C407" s="9"/>
      <c r="D407" s="9"/>
      <c r="E407" s="11"/>
      <c r="F407" s="8" t="str">
        <f>IF(C407="","",IFERROR(INDEX(Lists!$C$2:$C$17,MATCH(C407,Lists!$A$2:$A$17,0)),"?"))</f>
        <v/>
      </c>
    </row>
    <row r="408" spans="1:6" x14ac:dyDescent="0.35">
      <c r="A408" s="10"/>
      <c r="B408" s="9"/>
      <c r="C408" s="9"/>
      <c r="D408" s="9"/>
      <c r="E408" s="11"/>
      <c r="F408" s="8" t="str">
        <f>IF(C408="","",IFERROR(INDEX(Lists!$C$2:$C$17,MATCH(C408,Lists!$A$2:$A$17,0)),"?"))</f>
        <v/>
      </c>
    </row>
    <row r="409" spans="1:6" x14ac:dyDescent="0.35">
      <c r="A409" s="10"/>
      <c r="B409" s="9"/>
      <c r="C409" s="9"/>
      <c r="D409" s="9"/>
      <c r="E409" s="11"/>
      <c r="F409" s="8" t="str">
        <f>IF(C409="","",IFERROR(INDEX(Lists!$C$2:$C$17,MATCH(C409,Lists!$A$2:$A$17,0)),"?"))</f>
        <v/>
      </c>
    </row>
    <row r="410" spans="1:6" x14ac:dyDescent="0.35">
      <c r="A410" s="10"/>
      <c r="B410" s="9"/>
      <c r="C410" s="9"/>
      <c r="D410" s="9"/>
      <c r="E410" s="11"/>
      <c r="F410" s="8" t="str">
        <f>IF(C410="","",IFERROR(INDEX(Lists!$C$2:$C$17,MATCH(C410,Lists!$A$2:$A$17,0)),"?"))</f>
        <v/>
      </c>
    </row>
    <row r="411" spans="1:6" x14ac:dyDescent="0.35">
      <c r="A411" s="10"/>
      <c r="B411" s="9"/>
      <c r="C411" s="9"/>
      <c r="D411" s="9"/>
      <c r="E411" s="11"/>
      <c r="F411" s="8" t="str">
        <f>IF(C411="","",IFERROR(INDEX(Lists!$C$2:$C$17,MATCH(C411,Lists!$A$2:$A$17,0)),"?"))</f>
        <v/>
      </c>
    </row>
    <row r="412" spans="1:6" x14ac:dyDescent="0.35">
      <c r="A412" s="10"/>
      <c r="B412" s="9"/>
      <c r="C412" s="9"/>
      <c r="D412" s="9"/>
      <c r="E412" s="11"/>
      <c r="F412" s="8" t="str">
        <f>IF(C412="","",IFERROR(INDEX(Lists!$C$2:$C$17,MATCH(C412,Lists!$A$2:$A$17,0)),"?"))</f>
        <v/>
      </c>
    </row>
    <row r="413" spans="1:6" x14ac:dyDescent="0.35">
      <c r="A413" s="10"/>
      <c r="B413" s="9"/>
      <c r="C413" s="9"/>
      <c r="D413" s="9"/>
      <c r="E413" s="11"/>
      <c r="F413" s="8" t="str">
        <f>IF(C413="","",IFERROR(INDEX(Lists!$C$2:$C$17,MATCH(C413,Lists!$A$2:$A$17,0)),"?"))</f>
        <v/>
      </c>
    </row>
    <row r="414" spans="1:6" x14ac:dyDescent="0.35">
      <c r="A414" s="10"/>
      <c r="B414" s="9"/>
      <c r="C414" s="9"/>
      <c r="D414" s="9"/>
      <c r="E414" s="11"/>
      <c r="F414" s="8" t="str">
        <f>IF(C414="","",IFERROR(INDEX(Lists!$C$2:$C$17,MATCH(C414,Lists!$A$2:$A$17,0)),"?"))</f>
        <v/>
      </c>
    </row>
    <row r="415" spans="1:6" x14ac:dyDescent="0.35">
      <c r="A415" s="10"/>
      <c r="B415" s="9"/>
      <c r="C415" s="9"/>
      <c r="D415" s="9"/>
      <c r="E415" s="11"/>
      <c r="F415" s="8" t="str">
        <f>IF(C415="","",IFERROR(INDEX(Lists!$C$2:$C$17,MATCH(C415,Lists!$A$2:$A$17,0)),"?"))</f>
        <v/>
      </c>
    </row>
    <row r="416" spans="1:6" x14ac:dyDescent="0.35">
      <c r="A416" s="10"/>
      <c r="B416" s="9"/>
      <c r="C416" s="9"/>
      <c r="D416" s="9"/>
      <c r="E416" s="11"/>
      <c r="F416" s="8" t="str">
        <f>IF(C416="","",IFERROR(INDEX(Lists!$C$2:$C$17,MATCH(C416,Lists!$A$2:$A$17,0)),"?"))</f>
        <v/>
      </c>
    </row>
    <row r="417" spans="1:6" x14ac:dyDescent="0.35">
      <c r="A417" s="10"/>
      <c r="B417" s="9"/>
      <c r="C417" s="9"/>
      <c r="D417" s="9"/>
      <c r="E417" s="11"/>
      <c r="F417" s="8" t="str">
        <f>IF(C417="","",IFERROR(INDEX(Lists!$C$2:$C$17,MATCH(C417,Lists!$A$2:$A$17,0)),"?"))</f>
        <v/>
      </c>
    </row>
    <row r="418" spans="1:6" x14ac:dyDescent="0.35">
      <c r="A418" s="10"/>
      <c r="B418" s="9"/>
      <c r="C418" s="9"/>
      <c r="D418" s="9"/>
      <c r="E418" s="11"/>
      <c r="F418" s="8" t="str">
        <f>IF(C418="","",IFERROR(INDEX(Lists!$C$2:$C$17,MATCH(C418,Lists!$A$2:$A$17,0)),"?"))</f>
        <v/>
      </c>
    </row>
    <row r="419" spans="1:6" x14ac:dyDescent="0.35">
      <c r="A419" s="10"/>
      <c r="B419" s="9"/>
      <c r="C419" s="9"/>
      <c r="D419" s="9"/>
      <c r="E419" s="11"/>
      <c r="F419" s="8" t="str">
        <f>IF(C419="","",IFERROR(INDEX(Lists!$C$2:$C$17,MATCH(C419,Lists!$A$2:$A$17,0)),"?"))</f>
        <v/>
      </c>
    </row>
    <row r="420" spans="1:6" x14ac:dyDescent="0.35">
      <c r="A420" s="10"/>
      <c r="B420" s="9"/>
      <c r="C420" s="9"/>
      <c r="D420" s="9"/>
      <c r="E420" s="11"/>
      <c r="F420" s="8" t="str">
        <f>IF(C420="","",IFERROR(INDEX(Lists!$C$2:$C$17,MATCH(C420,Lists!$A$2:$A$17,0)),"?"))</f>
        <v/>
      </c>
    </row>
    <row r="421" spans="1:6" x14ac:dyDescent="0.35">
      <c r="A421" s="10"/>
      <c r="B421" s="9"/>
      <c r="C421" s="9"/>
      <c r="D421" s="9"/>
      <c r="E421" s="11"/>
      <c r="F421" s="8" t="str">
        <f>IF(C421="","",IFERROR(INDEX(Lists!$C$2:$C$17,MATCH(C421,Lists!$A$2:$A$17,0)),"?"))</f>
        <v/>
      </c>
    </row>
    <row r="422" spans="1:6" x14ac:dyDescent="0.35">
      <c r="A422" s="10"/>
      <c r="B422" s="9"/>
      <c r="C422" s="9"/>
      <c r="D422" s="9"/>
      <c r="E422" s="11"/>
      <c r="F422" s="8" t="str">
        <f>IF(C422="","",IFERROR(INDEX(Lists!$C$2:$C$17,MATCH(C422,Lists!$A$2:$A$17,0)),"?"))</f>
        <v/>
      </c>
    </row>
    <row r="423" spans="1:6" x14ac:dyDescent="0.35">
      <c r="A423" s="10"/>
      <c r="B423" s="9"/>
      <c r="C423" s="9"/>
      <c r="D423" s="9"/>
      <c r="E423" s="11"/>
      <c r="F423" s="8" t="str">
        <f>IF(C423="","",IFERROR(INDEX(Lists!$C$2:$C$17,MATCH(C423,Lists!$A$2:$A$17,0)),"?"))</f>
        <v/>
      </c>
    </row>
    <row r="424" spans="1:6" x14ac:dyDescent="0.35">
      <c r="A424" s="10"/>
      <c r="B424" s="9"/>
      <c r="C424" s="9"/>
      <c r="D424" s="9"/>
      <c r="E424" s="11"/>
      <c r="F424" s="8" t="str">
        <f>IF(C424="","",IFERROR(INDEX(Lists!$C$2:$C$17,MATCH(C424,Lists!$A$2:$A$17,0)),"?"))</f>
        <v/>
      </c>
    </row>
    <row r="425" spans="1:6" x14ac:dyDescent="0.35">
      <c r="A425" s="10"/>
      <c r="B425" s="9"/>
      <c r="C425" s="9"/>
      <c r="D425" s="9"/>
      <c r="E425" s="11"/>
      <c r="F425" s="8" t="str">
        <f>IF(C425="","",IFERROR(INDEX(Lists!$C$2:$C$17,MATCH(C425,Lists!$A$2:$A$17,0)),"?"))</f>
        <v/>
      </c>
    </row>
    <row r="426" spans="1:6" x14ac:dyDescent="0.35">
      <c r="A426" s="10"/>
      <c r="B426" s="9"/>
      <c r="C426" s="9"/>
      <c r="D426" s="9"/>
      <c r="E426" s="11"/>
      <c r="F426" s="8" t="str">
        <f>IF(C426="","",IFERROR(INDEX(Lists!$C$2:$C$17,MATCH(C426,Lists!$A$2:$A$17,0)),"?"))</f>
        <v/>
      </c>
    </row>
    <row r="427" spans="1:6" x14ac:dyDescent="0.35">
      <c r="A427" s="10"/>
      <c r="B427" s="9"/>
      <c r="C427" s="9"/>
      <c r="D427" s="9"/>
      <c r="E427" s="11"/>
      <c r="F427" s="8" t="str">
        <f>IF(C427="","",IFERROR(INDEX(Lists!$C$2:$C$17,MATCH(C427,Lists!$A$2:$A$17,0)),"?"))</f>
        <v/>
      </c>
    </row>
    <row r="428" spans="1:6" x14ac:dyDescent="0.35">
      <c r="A428" s="10"/>
      <c r="B428" s="9"/>
      <c r="C428" s="9"/>
      <c r="D428" s="9"/>
      <c r="E428" s="11"/>
      <c r="F428" s="8" t="str">
        <f>IF(C428="","",IFERROR(INDEX(Lists!$C$2:$C$17,MATCH(C428,Lists!$A$2:$A$17,0)),"?"))</f>
        <v/>
      </c>
    </row>
    <row r="429" spans="1:6" x14ac:dyDescent="0.35">
      <c r="A429" s="10"/>
      <c r="B429" s="9"/>
      <c r="C429" s="9"/>
      <c r="D429" s="9"/>
      <c r="E429" s="11"/>
      <c r="F429" s="8" t="str">
        <f>IF(C429="","",IFERROR(INDEX(Lists!$C$2:$C$17,MATCH(C429,Lists!$A$2:$A$17,0)),"?"))</f>
        <v/>
      </c>
    </row>
    <row r="430" spans="1:6" x14ac:dyDescent="0.35">
      <c r="A430" s="10"/>
      <c r="B430" s="9"/>
      <c r="C430" s="9"/>
      <c r="D430" s="9"/>
      <c r="E430" s="11"/>
      <c r="F430" s="8" t="str">
        <f>IF(C430="","",IFERROR(INDEX(Lists!$C$2:$C$17,MATCH(C430,Lists!$A$2:$A$17,0)),"?"))</f>
        <v/>
      </c>
    </row>
    <row r="431" spans="1:6" x14ac:dyDescent="0.35">
      <c r="A431" s="10"/>
      <c r="B431" s="9"/>
      <c r="C431" s="9"/>
      <c r="D431" s="9"/>
      <c r="E431" s="11"/>
      <c r="F431" s="8" t="str">
        <f>IF(C431="","",IFERROR(INDEX(Lists!$C$2:$C$17,MATCH(C431,Lists!$A$2:$A$17,0)),"?"))</f>
        <v/>
      </c>
    </row>
    <row r="432" spans="1:6" x14ac:dyDescent="0.35">
      <c r="A432" s="10"/>
      <c r="B432" s="9"/>
      <c r="C432" s="9"/>
      <c r="D432" s="9"/>
      <c r="E432" s="11"/>
      <c r="F432" s="8" t="str">
        <f>IF(C432="","",IFERROR(INDEX(Lists!$C$2:$C$17,MATCH(C432,Lists!$A$2:$A$17,0)),"?"))</f>
        <v/>
      </c>
    </row>
    <row r="433" spans="1:6" x14ac:dyDescent="0.35">
      <c r="A433" s="10"/>
      <c r="B433" s="9"/>
      <c r="C433" s="9"/>
      <c r="D433" s="9"/>
      <c r="E433" s="11"/>
      <c r="F433" s="8" t="str">
        <f>IF(C433="","",IFERROR(INDEX(Lists!$C$2:$C$17,MATCH(C433,Lists!$A$2:$A$17,0)),"?"))</f>
        <v/>
      </c>
    </row>
    <row r="434" spans="1:6" x14ac:dyDescent="0.35">
      <c r="A434" s="10"/>
      <c r="B434" s="9"/>
      <c r="C434" s="9"/>
      <c r="D434" s="9"/>
      <c r="E434" s="11"/>
      <c r="F434" s="8" t="str">
        <f>IF(C434="","",IFERROR(INDEX(Lists!$C$2:$C$17,MATCH(C434,Lists!$A$2:$A$17,0)),"?"))</f>
        <v/>
      </c>
    </row>
    <row r="435" spans="1:6" x14ac:dyDescent="0.35">
      <c r="A435" s="10"/>
      <c r="B435" s="9"/>
      <c r="C435" s="9"/>
      <c r="D435" s="9"/>
      <c r="E435" s="11"/>
      <c r="F435" s="8" t="str">
        <f>IF(C435="","",IFERROR(INDEX(Lists!$C$2:$C$17,MATCH(C435,Lists!$A$2:$A$17,0)),"?"))</f>
        <v/>
      </c>
    </row>
    <row r="436" spans="1:6" x14ac:dyDescent="0.35">
      <c r="A436" s="10"/>
      <c r="B436" s="9"/>
      <c r="C436" s="9"/>
      <c r="D436" s="9"/>
      <c r="E436" s="11"/>
      <c r="F436" s="8" t="str">
        <f>IF(C436="","",IFERROR(INDEX(Lists!$C$2:$C$17,MATCH(C436,Lists!$A$2:$A$17,0)),"?"))</f>
        <v/>
      </c>
    </row>
    <row r="437" spans="1:6" x14ac:dyDescent="0.35">
      <c r="A437" s="10"/>
      <c r="B437" s="9"/>
      <c r="C437" s="9"/>
      <c r="D437" s="9"/>
      <c r="E437" s="11"/>
      <c r="F437" s="8" t="str">
        <f>IF(C437="","",IFERROR(INDEX(Lists!$C$2:$C$17,MATCH(C437,Lists!$A$2:$A$17,0)),"?"))</f>
        <v/>
      </c>
    </row>
    <row r="438" spans="1:6" x14ac:dyDescent="0.35">
      <c r="A438" s="10"/>
      <c r="B438" s="9"/>
      <c r="C438" s="9"/>
      <c r="D438" s="9"/>
      <c r="E438" s="11"/>
      <c r="F438" s="8" t="str">
        <f>IF(C438="","",IFERROR(INDEX(Lists!$C$2:$C$17,MATCH(C438,Lists!$A$2:$A$17,0)),"?"))</f>
        <v/>
      </c>
    </row>
    <row r="439" spans="1:6" x14ac:dyDescent="0.35">
      <c r="A439" s="10"/>
      <c r="B439" s="9"/>
      <c r="C439" s="9"/>
      <c r="D439" s="9"/>
      <c r="E439" s="11"/>
      <c r="F439" s="8" t="str">
        <f>IF(C439="","",IFERROR(INDEX(Lists!$C$2:$C$17,MATCH(C439,Lists!$A$2:$A$17,0)),"?"))</f>
        <v/>
      </c>
    </row>
    <row r="440" spans="1:6" x14ac:dyDescent="0.35">
      <c r="A440" s="10"/>
      <c r="B440" s="9"/>
      <c r="C440" s="9"/>
      <c r="D440" s="9"/>
      <c r="E440" s="11"/>
      <c r="F440" s="8" t="str">
        <f>IF(C440="","",IFERROR(INDEX(Lists!$C$2:$C$17,MATCH(C440,Lists!$A$2:$A$17,0)),"?"))</f>
        <v/>
      </c>
    </row>
    <row r="441" spans="1:6" x14ac:dyDescent="0.35">
      <c r="A441" s="10"/>
      <c r="B441" s="9"/>
      <c r="C441" s="9"/>
      <c r="D441" s="9"/>
      <c r="E441" s="11"/>
      <c r="F441" s="8" t="str">
        <f>IF(C441="","",IFERROR(INDEX(Lists!$C$2:$C$17,MATCH(C441,Lists!$A$2:$A$17,0)),"?"))</f>
        <v/>
      </c>
    </row>
    <row r="442" spans="1:6" x14ac:dyDescent="0.35">
      <c r="A442" s="10"/>
      <c r="B442" s="9"/>
      <c r="C442" s="9"/>
      <c r="D442" s="9"/>
      <c r="E442" s="11"/>
      <c r="F442" s="8" t="str">
        <f>IF(C442="","",IFERROR(INDEX(Lists!$C$2:$C$17,MATCH(C442,Lists!$A$2:$A$17,0)),"?"))</f>
        <v/>
      </c>
    </row>
    <row r="443" spans="1:6" x14ac:dyDescent="0.35">
      <c r="A443" s="10"/>
      <c r="B443" s="9"/>
      <c r="C443" s="9"/>
      <c r="D443" s="9"/>
      <c r="E443" s="11"/>
      <c r="F443" s="8" t="str">
        <f>IF(C443="","",IFERROR(INDEX(Lists!$C$2:$C$17,MATCH(C443,Lists!$A$2:$A$17,0)),"?"))</f>
        <v/>
      </c>
    </row>
    <row r="444" spans="1:6" x14ac:dyDescent="0.35">
      <c r="A444" s="10"/>
      <c r="B444" s="9"/>
      <c r="C444" s="9"/>
      <c r="D444" s="9"/>
      <c r="E444" s="11"/>
      <c r="F444" s="8" t="str">
        <f>IF(C444="","",IFERROR(INDEX(Lists!$C$2:$C$17,MATCH(C444,Lists!$A$2:$A$17,0)),"?"))</f>
        <v/>
      </c>
    </row>
    <row r="445" spans="1:6" x14ac:dyDescent="0.35">
      <c r="A445" s="10"/>
      <c r="B445" s="9"/>
      <c r="C445" s="9"/>
      <c r="D445" s="9"/>
      <c r="E445" s="11"/>
      <c r="F445" s="8" t="str">
        <f>IF(C445="","",IFERROR(INDEX(Lists!$C$2:$C$17,MATCH(C445,Lists!$A$2:$A$17,0)),"?"))</f>
        <v/>
      </c>
    </row>
    <row r="446" spans="1:6" x14ac:dyDescent="0.35">
      <c r="A446" s="10"/>
      <c r="B446" s="9"/>
      <c r="C446" s="9"/>
      <c r="D446" s="9"/>
      <c r="E446" s="11"/>
      <c r="F446" s="8" t="str">
        <f>IF(C446="","",IFERROR(INDEX(Lists!$C$2:$C$17,MATCH(C446,Lists!$A$2:$A$17,0)),"?"))</f>
        <v/>
      </c>
    </row>
    <row r="447" spans="1:6" x14ac:dyDescent="0.35">
      <c r="A447" s="10"/>
      <c r="B447" s="9"/>
      <c r="C447" s="9"/>
      <c r="D447" s="9"/>
      <c r="E447" s="11"/>
      <c r="F447" s="8" t="str">
        <f>IF(C447="","",IFERROR(INDEX(Lists!$C$2:$C$17,MATCH(C447,Lists!$A$2:$A$17,0)),"?"))</f>
        <v/>
      </c>
    </row>
    <row r="448" spans="1:6" x14ac:dyDescent="0.35">
      <c r="A448" s="10"/>
      <c r="B448" s="9"/>
      <c r="C448" s="9"/>
      <c r="D448" s="9"/>
      <c r="E448" s="11"/>
      <c r="F448" s="8" t="str">
        <f>IF(C448="","",IFERROR(INDEX(Lists!$C$2:$C$17,MATCH(C448,Lists!$A$2:$A$17,0)),"?"))</f>
        <v/>
      </c>
    </row>
    <row r="449" spans="1:6" x14ac:dyDescent="0.35">
      <c r="A449" s="10"/>
      <c r="B449" s="9"/>
      <c r="C449" s="9"/>
      <c r="D449" s="9"/>
      <c r="E449" s="11"/>
      <c r="F449" s="8" t="str">
        <f>IF(C449="","",IFERROR(INDEX(Lists!$C$2:$C$17,MATCH(C449,Lists!$A$2:$A$17,0)),"?"))</f>
        <v/>
      </c>
    </row>
    <row r="450" spans="1:6" x14ac:dyDescent="0.35">
      <c r="A450" s="10"/>
      <c r="B450" s="9"/>
      <c r="C450" s="9"/>
      <c r="D450" s="9"/>
      <c r="E450" s="11"/>
      <c r="F450" s="8" t="str">
        <f>IF(C450="","",IFERROR(INDEX(Lists!$C$2:$C$17,MATCH(C450,Lists!$A$2:$A$17,0)),"?"))</f>
        <v/>
      </c>
    </row>
    <row r="451" spans="1:6" x14ac:dyDescent="0.35">
      <c r="A451" s="10"/>
      <c r="B451" s="9"/>
      <c r="C451" s="9"/>
      <c r="D451" s="9"/>
      <c r="E451" s="11"/>
      <c r="F451" s="8" t="str">
        <f>IF(C451="","",IFERROR(INDEX(Lists!$C$2:$C$17,MATCH(C451,Lists!$A$2:$A$17,0)),"?"))</f>
        <v/>
      </c>
    </row>
    <row r="452" spans="1:6" x14ac:dyDescent="0.35">
      <c r="A452" s="10"/>
      <c r="B452" s="9"/>
      <c r="C452" s="9"/>
      <c r="D452" s="9"/>
      <c r="E452" s="11"/>
      <c r="F452" s="8" t="str">
        <f>IF(C452="","",IFERROR(INDEX(Lists!$C$2:$C$17,MATCH(C452,Lists!$A$2:$A$17,0)),"?"))</f>
        <v/>
      </c>
    </row>
    <row r="453" spans="1:6" x14ac:dyDescent="0.35">
      <c r="A453" s="10"/>
      <c r="B453" s="9"/>
      <c r="C453" s="9"/>
      <c r="D453" s="9"/>
      <c r="E453" s="11"/>
      <c r="F453" s="8" t="str">
        <f>IF(C453="","",IFERROR(INDEX(Lists!$C$2:$C$17,MATCH(C453,Lists!$A$2:$A$17,0)),"?"))</f>
        <v/>
      </c>
    </row>
    <row r="454" spans="1:6" x14ac:dyDescent="0.35">
      <c r="A454" s="10"/>
      <c r="B454" s="9"/>
      <c r="C454" s="9"/>
      <c r="D454" s="9"/>
      <c r="E454" s="11"/>
      <c r="F454" s="8" t="str">
        <f>IF(C454="","",IFERROR(INDEX(Lists!$C$2:$C$17,MATCH(C454,Lists!$A$2:$A$17,0)),"?"))</f>
        <v/>
      </c>
    </row>
    <row r="455" spans="1:6" x14ac:dyDescent="0.35">
      <c r="A455" s="10"/>
      <c r="B455" s="9"/>
      <c r="C455" s="9"/>
      <c r="D455" s="9"/>
      <c r="E455" s="11"/>
      <c r="F455" s="8" t="str">
        <f>IF(C455="","",IFERROR(INDEX(Lists!$C$2:$C$17,MATCH(C455,Lists!$A$2:$A$17,0)),"?"))</f>
        <v/>
      </c>
    </row>
    <row r="456" spans="1:6" x14ac:dyDescent="0.35">
      <c r="A456" s="10"/>
      <c r="B456" s="9"/>
      <c r="C456" s="9"/>
      <c r="D456" s="9"/>
      <c r="E456" s="11"/>
      <c r="F456" s="8" t="str">
        <f>IF(C456="","",IFERROR(INDEX(Lists!$C$2:$C$17,MATCH(C456,Lists!$A$2:$A$17,0)),"?"))</f>
        <v/>
      </c>
    </row>
    <row r="457" spans="1:6" x14ac:dyDescent="0.35">
      <c r="A457" s="10"/>
      <c r="B457" s="9"/>
      <c r="C457" s="9"/>
      <c r="D457" s="9"/>
      <c r="E457" s="11"/>
      <c r="F457" s="8" t="str">
        <f>IF(C457="","",IFERROR(INDEX(Lists!$C$2:$C$17,MATCH(C457,Lists!$A$2:$A$17,0)),"?"))</f>
        <v/>
      </c>
    </row>
    <row r="458" spans="1:6" x14ac:dyDescent="0.35">
      <c r="A458" s="10"/>
      <c r="B458" s="9"/>
      <c r="C458" s="9"/>
      <c r="D458" s="9"/>
      <c r="E458" s="11"/>
      <c r="F458" s="8" t="str">
        <f>IF(C458="","",IFERROR(INDEX(Lists!$C$2:$C$17,MATCH(C458,Lists!$A$2:$A$17,0)),"?"))</f>
        <v/>
      </c>
    </row>
    <row r="459" spans="1:6" x14ac:dyDescent="0.35">
      <c r="A459" s="10"/>
      <c r="B459" s="9"/>
      <c r="C459" s="9"/>
      <c r="D459" s="9"/>
      <c r="E459" s="11"/>
      <c r="F459" s="8" t="str">
        <f>IF(C459="","",IFERROR(INDEX(Lists!$C$2:$C$17,MATCH(C459,Lists!$A$2:$A$17,0)),"?"))</f>
        <v/>
      </c>
    </row>
    <row r="460" spans="1:6" x14ac:dyDescent="0.35">
      <c r="A460" s="10"/>
      <c r="B460" s="9"/>
      <c r="C460" s="9"/>
      <c r="D460" s="9"/>
      <c r="E460" s="11"/>
      <c r="F460" s="8" t="str">
        <f>IF(C460="","",IFERROR(INDEX(Lists!$C$2:$C$17,MATCH(C460,Lists!$A$2:$A$17,0)),"?"))</f>
        <v/>
      </c>
    </row>
    <row r="461" spans="1:6" x14ac:dyDescent="0.35">
      <c r="A461" s="10"/>
      <c r="B461" s="9"/>
      <c r="C461" s="9"/>
      <c r="D461" s="9"/>
      <c r="E461" s="11"/>
      <c r="F461" s="8" t="str">
        <f>IF(C461="","",IFERROR(INDEX(Lists!$C$2:$C$17,MATCH(C461,Lists!$A$2:$A$17,0)),"?"))</f>
        <v/>
      </c>
    </row>
    <row r="462" spans="1:6" x14ac:dyDescent="0.35">
      <c r="A462" s="10"/>
      <c r="B462" s="9"/>
      <c r="C462" s="9"/>
      <c r="D462" s="9"/>
      <c r="E462" s="11"/>
      <c r="F462" s="8" t="str">
        <f>IF(C462="","",IFERROR(INDEX(Lists!$C$2:$C$17,MATCH(C462,Lists!$A$2:$A$17,0)),"?"))</f>
        <v/>
      </c>
    </row>
    <row r="463" spans="1:6" x14ac:dyDescent="0.35">
      <c r="A463" s="10"/>
      <c r="B463" s="9"/>
      <c r="C463" s="9"/>
      <c r="D463" s="9"/>
      <c r="E463" s="11"/>
      <c r="F463" s="8" t="str">
        <f>IF(C463="","",IFERROR(INDEX(Lists!$C$2:$C$17,MATCH(C463,Lists!$A$2:$A$17,0)),"?"))</f>
        <v/>
      </c>
    </row>
    <row r="464" spans="1:6" x14ac:dyDescent="0.35">
      <c r="A464" s="10"/>
      <c r="B464" s="9"/>
      <c r="C464" s="9"/>
      <c r="D464" s="9"/>
      <c r="E464" s="11"/>
      <c r="F464" s="8" t="str">
        <f>IF(C464="","",IFERROR(INDEX(Lists!$C$2:$C$17,MATCH(C464,Lists!$A$2:$A$17,0)),"?"))</f>
        <v/>
      </c>
    </row>
    <row r="465" spans="1:6" x14ac:dyDescent="0.35">
      <c r="A465" s="10"/>
      <c r="B465" s="9"/>
      <c r="C465" s="9"/>
      <c r="D465" s="9"/>
      <c r="E465" s="11"/>
      <c r="F465" s="8" t="str">
        <f>IF(C465="","",IFERROR(INDEX(Lists!$C$2:$C$17,MATCH(C465,Lists!$A$2:$A$17,0)),"?"))</f>
        <v/>
      </c>
    </row>
    <row r="466" spans="1:6" x14ac:dyDescent="0.35">
      <c r="A466" s="10"/>
      <c r="B466" s="9"/>
      <c r="C466" s="9"/>
      <c r="D466" s="9"/>
      <c r="E466" s="11"/>
      <c r="F466" s="8" t="str">
        <f>IF(C466="","",IFERROR(INDEX(Lists!$C$2:$C$17,MATCH(C466,Lists!$A$2:$A$17,0)),"?"))</f>
        <v/>
      </c>
    </row>
    <row r="467" spans="1:6" x14ac:dyDescent="0.35">
      <c r="A467" s="10"/>
      <c r="B467" s="9"/>
      <c r="C467" s="9"/>
      <c r="D467" s="9"/>
      <c r="E467" s="11"/>
      <c r="F467" s="8" t="str">
        <f>IF(C467="","",IFERROR(INDEX(Lists!$C$2:$C$17,MATCH(C467,Lists!$A$2:$A$17,0)),"?"))</f>
        <v/>
      </c>
    </row>
    <row r="468" spans="1:6" x14ac:dyDescent="0.35">
      <c r="A468" s="10"/>
      <c r="B468" s="9"/>
      <c r="C468" s="9"/>
      <c r="D468" s="9"/>
      <c r="E468" s="11"/>
      <c r="F468" s="8" t="str">
        <f>IF(C468="","",IFERROR(INDEX(Lists!$C$2:$C$17,MATCH(C468,Lists!$A$2:$A$17,0)),"?"))</f>
        <v/>
      </c>
    </row>
    <row r="469" spans="1:6" x14ac:dyDescent="0.35">
      <c r="A469" s="10"/>
      <c r="B469" s="9"/>
      <c r="C469" s="9"/>
      <c r="D469" s="9"/>
      <c r="E469" s="11"/>
      <c r="F469" s="8" t="str">
        <f>IF(C469="","",IFERROR(INDEX(Lists!$C$2:$C$17,MATCH(C469,Lists!$A$2:$A$17,0)),"?"))</f>
        <v/>
      </c>
    </row>
    <row r="470" spans="1:6" x14ac:dyDescent="0.35">
      <c r="A470" s="10"/>
      <c r="B470" s="9"/>
      <c r="C470" s="9"/>
      <c r="D470" s="9"/>
      <c r="E470" s="11"/>
      <c r="F470" s="8" t="str">
        <f>IF(C470="","",IFERROR(INDEX(Lists!$C$2:$C$17,MATCH(C470,Lists!$A$2:$A$17,0)),"?"))</f>
        <v/>
      </c>
    </row>
    <row r="471" spans="1:6" x14ac:dyDescent="0.35">
      <c r="A471" s="10"/>
      <c r="B471" s="9"/>
      <c r="C471" s="9"/>
      <c r="D471" s="9"/>
      <c r="E471" s="11"/>
      <c r="F471" s="8" t="str">
        <f>IF(C471="","",IFERROR(INDEX(Lists!$C$2:$C$17,MATCH(C471,Lists!$A$2:$A$17,0)),"?"))</f>
        <v/>
      </c>
    </row>
    <row r="472" spans="1:6" x14ac:dyDescent="0.35">
      <c r="A472" s="10"/>
      <c r="B472" s="9"/>
      <c r="C472" s="9"/>
      <c r="D472" s="9"/>
      <c r="E472" s="11"/>
      <c r="F472" s="8" t="str">
        <f>IF(C472="","",IFERROR(INDEX(Lists!$C$2:$C$17,MATCH(C472,Lists!$A$2:$A$17,0)),"?"))</f>
        <v/>
      </c>
    </row>
    <row r="473" spans="1:6" x14ac:dyDescent="0.35">
      <c r="A473" s="10"/>
      <c r="B473" s="9"/>
      <c r="C473" s="9"/>
      <c r="D473" s="9"/>
      <c r="E473" s="11"/>
      <c r="F473" s="8" t="str">
        <f>IF(C473="","",IFERROR(INDEX(Lists!$C$2:$C$17,MATCH(C473,Lists!$A$2:$A$17,0)),"?"))</f>
        <v/>
      </c>
    </row>
    <row r="474" spans="1:6" x14ac:dyDescent="0.35">
      <c r="A474" s="10"/>
      <c r="B474" s="9"/>
      <c r="C474" s="9"/>
      <c r="D474" s="9"/>
      <c r="E474" s="11"/>
      <c r="F474" s="8" t="str">
        <f>IF(C474="","",IFERROR(INDEX(Lists!$C$2:$C$17,MATCH(C474,Lists!$A$2:$A$17,0)),"?"))</f>
        <v/>
      </c>
    </row>
    <row r="475" spans="1:6" x14ac:dyDescent="0.35">
      <c r="A475" s="10"/>
      <c r="B475" s="9"/>
      <c r="C475" s="9"/>
      <c r="D475" s="9"/>
      <c r="E475" s="11"/>
      <c r="F475" s="8" t="str">
        <f>IF(C475="","",IFERROR(INDEX(Lists!$C$2:$C$17,MATCH(C475,Lists!$A$2:$A$17,0)),"?"))</f>
        <v/>
      </c>
    </row>
    <row r="476" spans="1:6" x14ac:dyDescent="0.35">
      <c r="A476" s="10"/>
      <c r="B476" s="9"/>
      <c r="C476" s="9"/>
      <c r="D476" s="9"/>
      <c r="E476" s="11"/>
      <c r="F476" s="8" t="str">
        <f>IF(C476="","",IFERROR(INDEX(Lists!$C$2:$C$17,MATCH(C476,Lists!$A$2:$A$17,0)),"?"))</f>
        <v/>
      </c>
    </row>
    <row r="477" spans="1:6" x14ac:dyDescent="0.35">
      <c r="A477" s="10"/>
      <c r="B477" s="9"/>
      <c r="C477" s="9"/>
      <c r="D477" s="9"/>
      <c r="E477" s="11"/>
      <c r="F477" s="8" t="str">
        <f>IF(C477="","",IFERROR(INDEX(Lists!$C$2:$C$17,MATCH(C477,Lists!$A$2:$A$17,0)),"?"))</f>
        <v/>
      </c>
    </row>
    <row r="478" spans="1:6" x14ac:dyDescent="0.35">
      <c r="A478" s="10"/>
      <c r="B478" s="9"/>
      <c r="C478" s="9"/>
      <c r="D478" s="9"/>
      <c r="E478" s="11"/>
      <c r="F478" s="8" t="str">
        <f>IF(C478="","",IFERROR(INDEX(Lists!$C$2:$C$17,MATCH(C478,Lists!$A$2:$A$17,0)),"?"))</f>
        <v/>
      </c>
    </row>
    <row r="479" spans="1:6" x14ac:dyDescent="0.35">
      <c r="A479" s="10"/>
      <c r="B479" s="9"/>
      <c r="C479" s="9"/>
      <c r="D479" s="9"/>
      <c r="E479" s="11"/>
      <c r="F479" s="8" t="str">
        <f>IF(C479="","",IFERROR(INDEX(Lists!$C$2:$C$17,MATCH(C479,Lists!$A$2:$A$17,0)),"?"))</f>
        <v/>
      </c>
    </row>
    <row r="480" spans="1:6" x14ac:dyDescent="0.35">
      <c r="A480" s="10"/>
      <c r="B480" s="9"/>
      <c r="C480" s="9"/>
      <c r="D480" s="9"/>
      <c r="E480" s="11"/>
      <c r="F480" s="8" t="str">
        <f>IF(C480="","",IFERROR(INDEX(Lists!$C$2:$C$17,MATCH(C480,Lists!$A$2:$A$17,0)),"?"))</f>
        <v/>
      </c>
    </row>
    <row r="481" spans="1:6" x14ac:dyDescent="0.35">
      <c r="A481" s="10"/>
      <c r="B481" s="9"/>
      <c r="C481" s="9"/>
      <c r="D481" s="9"/>
      <c r="E481" s="11"/>
      <c r="F481" s="8" t="str">
        <f>IF(C481="","",IFERROR(INDEX(Lists!$C$2:$C$17,MATCH(C481,Lists!$A$2:$A$17,0)),"?"))</f>
        <v/>
      </c>
    </row>
    <row r="482" spans="1:6" x14ac:dyDescent="0.35">
      <c r="A482" s="10"/>
      <c r="B482" s="9"/>
      <c r="C482" s="9"/>
      <c r="D482" s="9"/>
      <c r="E482" s="11"/>
      <c r="F482" s="8" t="str">
        <f>IF(C482="","",IFERROR(INDEX(Lists!$C$2:$C$17,MATCH(C482,Lists!$A$2:$A$17,0)),"?"))</f>
        <v/>
      </c>
    </row>
    <row r="483" spans="1:6" x14ac:dyDescent="0.35">
      <c r="A483" s="10"/>
      <c r="B483" s="9"/>
      <c r="C483" s="9"/>
      <c r="D483" s="9"/>
      <c r="E483" s="11"/>
      <c r="F483" s="8" t="str">
        <f>IF(C483="","",IFERROR(INDEX(Lists!$C$2:$C$17,MATCH(C483,Lists!$A$2:$A$17,0)),"?"))</f>
        <v/>
      </c>
    </row>
    <row r="484" spans="1:6" x14ac:dyDescent="0.35">
      <c r="A484" s="10"/>
      <c r="B484" s="9"/>
      <c r="C484" s="9"/>
      <c r="D484" s="9"/>
      <c r="E484" s="11"/>
      <c r="F484" s="8" t="str">
        <f>IF(C484="","",IFERROR(INDEX(Lists!$C$2:$C$17,MATCH(C484,Lists!$A$2:$A$17,0)),"?"))</f>
        <v/>
      </c>
    </row>
    <row r="485" spans="1:6" x14ac:dyDescent="0.35">
      <c r="A485" s="10"/>
      <c r="B485" s="9"/>
      <c r="C485" s="9"/>
      <c r="D485" s="9"/>
      <c r="E485" s="11"/>
      <c r="F485" s="8" t="str">
        <f>IF(C485="","",IFERROR(INDEX(Lists!$C$2:$C$17,MATCH(C485,Lists!$A$2:$A$17,0)),"?"))</f>
        <v/>
      </c>
    </row>
    <row r="486" spans="1:6" x14ac:dyDescent="0.35">
      <c r="A486" s="10"/>
      <c r="B486" s="9"/>
      <c r="C486" s="9"/>
      <c r="D486" s="9"/>
      <c r="E486" s="11"/>
      <c r="F486" s="8" t="str">
        <f>IF(C486="","",IFERROR(INDEX(Lists!$C$2:$C$17,MATCH(C486,Lists!$A$2:$A$17,0)),"?"))</f>
        <v/>
      </c>
    </row>
    <row r="487" spans="1:6" x14ac:dyDescent="0.35">
      <c r="A487" s="10"/>
      <c r="B487" s="9"/>
      <c r="C487" s="9"/>
      <c r="D487" s="9"/>
      <c r="E487" s="11"/>
      <c r="F487" s="8" t="str">
        <f>IF(C487="","",IFERROR(INDEX(Lists!$C$2:$C$17,MATCH(C487,Lists!$A$2:$A$17,0)),"?"))</f>
        <v/>
      </c>
    </row>
    <row r="488" spans="1:6" x14ac:dyDescent="0.35">
      <c r="A488" s="10"/>
      <c r="B488" s="9"/>
      <c r="C488" s="9"/>
      <c r="D488" s="9"/>
      <c r="E488" s="11"/>
      <c r="F488" s="8" t="str">
        <f>IF(C488="","",IFERROR(INDEX(Lists!$C$2:$C$17,MATCH(C488,Lists!$A$2:$A$17,0)),"?"))</f>
        <v/>
      </c>
    </row>
    <row r="489" spans="1:6" x14ac:dyDescent="0.35">
      <c r="A489" s="10"/>
      <c r="B489" s="9"/>
      <c r="C489" s="9"/>
      <c r="D489" s="9"/>
      <c r="E489" s="11"/>
      <c r="F489" s="8" t="str">
        <f>IF(C489="","",IFERROR(INDEX(Lists!$C$2:$C$17,MATCH(C489,Lists!$A$2:$A$17,0)),"?"))</f>
        <v/>
      </c>
    </row>
    <row r="490" spans="1:6" x14ac:dyDescent="0.35">
      <c r="A490" s="10"/>
      <c r="B490" s="9"/>
      <c r="C490" s="9"/>
      <c r="D490" s="9"/>
      <c r="E490" s="11"/>
      <c r="F490" s="8" t="str">
        <f>IF(C490="","",IFERROR(INDEX(Lists!$C$2:$C$17,MATCH(C490,Lists!$A$2:$A$17,0)),"?"))</f>
        <v/>
      </c>
    </row>
    <row r="491" spans="1:6" x14ac:dyDescent="0.35">
      <c r="A491" s="10"/>
      <c r="B491" s="9"/>
      <c r="C491" s="9"/>
      <c r="D491" s="9"/>
      <c r="E491" s="11"/>
      <c r="F491" s="8" t="str">
        <f>IF(C491="","",IFERROR(INDEX(Lists!$C$2:$C$17,MATCH(C491,Lists!$A$2:$A$17,0)),"?"))</f>
        <v/>
      </c>
    </row>
    <row r="492" spans="1:6" x14ac:dyDescent="0.35">
      <c r="A492" s="10"/>
      <c r="B492" s="9"/>
      <c r="C492" s="9"/>
      <c r="D492" s="9"/>
      <c r="E492" s="11"/>
      <c r="F492" s="8" t="str">
        <f>IF(C492="","",IFERROR(INDEX(Lists!$C$2:$C$17,MATCH(C492,Lists!$A$2:$A$17,0)),"?"))</f>
        <v/>
      </c>
    </row>
    <row r="493" spans="1:6" x14ac:dyDescent="0.35">
      <c r="A493" s="10"/>
      <c r="B493" s="9"/>
      <c r="C493" s="9"/>
      <c r="D493" s="9"/>
      <c r="E493" s="11"/>
      <c r="F493" s="8" t="str">
        <f>IF(C493="","",IFERROR(INDEX(Lists!$C$2:$C$17,MATCH(C493,Lists!$A$2:$A$17,0)),"?"))</f>
        <v/>
      </c>
    </row>
    <row r="494" spans="1:6" x14ac:dyDescent="0.35">
      <c r="A494" s="10"/>
      <c r="B494" s="9"/>
      <c r="C494" s="9"/>
      <c r="D494" s="9"/>
      <c r="E494" s="11"/>
      <c r="F494" s="8" t="str">
        <f>IF(C494="","",IFERROR(INDEX(Lists!$C$2:$C$17,MATCH(C494,Lists!$A$2:$A$17,0)),"?"))</f>
        <v/>
      </c>
    </row>
    <row r="495" spans="1:6" x14ac:dyDescent="0.35">
      <c r="A495" s="10"/>
      <c r="B495" s="9"/>
      <c r="C495" s="9"/>
      <c r="D495" s="9"/>
      <c r="E495" s="11"/>
      <c r="F495" s="8" t="str">
        <f>IF(C495="","",IFERROR(INDEX(Lists!$C$2:$C$17,MATCH(C495,Lists!$A$2:$A$17,0)),"?"))</f>
        <v/>
      </c>
    </row>
    <row r="496" spans="1:6" x14ac:dyDescent="0.35">
      <c r="A496" s="10"/>
      <c r="B496" s="9"/>
      <c r="C496" s="9"/>
      <c r="D496" s="9"/>
      <c r="E496" s="11"/>
      <c r="F496" s="8" t="str">
        <f>IF(C496="","",IFERROR(INDEX(Lists!$C$2:$C$17,MATCH(C496,Lists!$A$2:$A$17,0)),"?"))</f>
        <v/>
      </c>
    </row>
    <row r="497" spans="1:6" x14ac:dyDescent="0.35">
      <c r="A497" s="10"/>
      <c r="B497" s="9"/>
      <c r="C497" s="9"/>
      <c r="D497" s="9"/>
      <c r="E497" s="11"/>
      <c r="F497" s="8" t="str">
        <f>IF(C497="","",IFERROR(INDEX(Lists!$C$2:$C$17,MATCH(C497,Lists!$A$2:$A$17,0)),"?"))</f>
        <v/>
      </c>
    </row>
    <row r="498" spans="1:6" x14ac:dyDescent="0.35">
      <c r="A498" s="10"/>
      <c r="B498" s="9"/>
      <c r="C498" s="9"/>
      <c r="D498" s="9"/>
      <c r="E498" s="11"/>
      <c r="F498" s="8" t="str">
        <f>IF(C498="","",IFERROR(INDEX(Lists!$C$2:$C$17,MATCH(C498,Lists!$A$2:$A$17,0)),"?"))</f>
        <v/>
      </c>
    </row>
    <row r="499" spans="1:6" x14ac:dyDescent="0.35">
      <c r="A499" s="10"/>
      <c r="B499" s="9"/>
      <c r="C499" s="9"/>
      <c r="D499" s="9"/>
      <c r="E499" s="11"/>
      <c r="F499" s="8" t="str">
        <f>IF(C499="","",IFERROR(INDEX(Lists!$C$2:$C$17,MATCH(C499,Lists!$A$2:$A$17,0)),"?"))</f>
        <v/>
      </c>
    </row>
    <row r="500" spans="1:6" x14ac:dyDescent="0.35">
      <c r="A500" s="10"/>
      <c r="B500" s="9"/>
      <c r="C500" s="9"/>
      <c r="D500" s="9"/>
      <c r="E500" s="11"/>
      <c r="F500" s="8" t="str">
        <f>IF(C500="","",IFERROR(INDEX(Lists!$C$2:$C$17,MATCH(C500,Lists!$A$2:$A$17,0)),"?"))</f>
        <v/>
      </c>
    </row>
    <row r="501" spans="1:6" x14ac:dyDescent="0.35">
      <c r="A501" s="10"/>
      <c r="B501" s="9"/>
      <c r="C501" s="9"/>
      <c r="D501" s="9"/>
      <c r="E501" s="11"/>
      <c r="F501" s="8" t="str">
        <f>IF(C501="","",IFERROR(INDEX(Lists!$C$2:$C$17,MATCH(C501,Lists!$A$2:$A$17,0)),"?"))</f>
        <v/>
      </c>
    </row>
    <row r="502" spans="1:6" x14ac:dyDescent="0.35">
      <c r="A502" s="10"/>
      <c r="B502" s="9"/>
      <c r="C502" s="9"/>
      <c r="D502" s="9"/>
      <c r="E502" s="11"/>
      <c r="F502" s="8" t="str">
        <f>IF(C502="","",IFERROR(INDEX(Lists!$C$2:$C$17,MATCH(C502,Lists!$A$2:$A$17,0)),"?"))</f>
        <v/>
      </c>
    </row>
    <row r="503" spans="1:6" x14ac:dyDescent="0.35">
      <c r="A503" s="10"/>
      <c r="B503" s="9"/>
      <c r="C503" s="9"/>
      <c r="D503" s="9"/>
      <c r="E503" s="11"/>
      <c r="F503" s="8" t="str">
        <f>IF(C503="","",IFERROR(INDEX(Lists!$C$2:$C$17,MATCH(C503,Lists!$A$2:$A$17,0)),"?"))</f>
        <v/>
      </c>
    </row>
    <row r="504" spans="1:6" x14ac:dyDescent="0.35">
      <c r="A504" s="10"/>
      <c r="B504" s="9"/>
      <c r="C504" s="9"/>
      <c r="D504" s="9"/>
      <c r="E504" s="11"/>
      <c r="F504" s="8" t="str">
        <f>IF(C504="","",IFERROR(INDEX(Lists!$C$2:$C$17,MATCH(C504,Lists!$A$2:$A$17,0)),"?"))</f>
        <v/>
      </c>
    </row>
    <row r="505" spans="1:6" x14ac:dyDescent="0.35">
      <c r="A505" s="10"/>
      <c r="B505" s="9"/>
      <c r="C505" s="9"/>
      <c r="D505" s="9"/>
      <c r="E505" s="11"/>
      <c r="F505" s="8" t="str">
        <f>IF(C505="","",IFERROR(INDEX(Lists!$C$2:$C$17,MATCH(C505,Lists!$A$2:$A$17,0)),"?"))</f>
        <v/>
      </c>
    </row>
    <row r="506" spans="1:6" x14ac:dyDescent="0.35">
      <c r="A506" s="10"/>
      <c r="B506" s="9"/>
      <c r="C506" s="9"/>
      <c r="D506" s="9"/>
      <c r="E506" s="11"/>
      <c r="F506" s="8" t="str">
        <f>IF(C506="","",IFERROR(INDEX(Lists!$C$2:$C$17,MATCH(C506,Lists!$A$2:$A$17,0)),"?"))</f>
        <v/>
      </c>
    </row>
    <row r="507" spans="1:6" x14ac:dyDescent="0.35">
      <c r="A507" s="10"/>
      <c r="B507" s="9"/>
      <c r="C507" s="9"/>
      <c r="D507" s="9"/>
      <c r="E507" s="11"/>
      <c r="F507" s="8" t="str">
        <f>IF(C507="","",IFERROR(INDEX(Lists!$C$2:$C$17,MATCH(C507,Lists!$A$2:$A$17,0)),"?"))</f>
        <v/>
      </c>
    </row>
    <row r="508" spans="1:6" x14ac:dyDescent="0.35">
      <c r="A508" s="10"/>
      <c r="B508" s="9"/>
      <c r="C508" s="9"/>
      <c r="D508" s="9"/>
      <c r="E508" s="11"/>
      <c r="F508" s="8" t="str">
        <f>IF(C508="","",IFERROR(INDEX(Lists!$C$2:$C$17,MATCH(C508,Lists!$A$2:$A$17,0)),"?"))</f>
        <v/>
      </c>
    </row>
    <row r="509" spans="1:6" x14ac:dyDescent="0.35">
      <c r="A509" s="10"/>
      <c r="B509" s="9"/>
      <c r="C509" s="9"/>
      <c r="D509" s="9"/>
      <c r="E509" s="11"/>
      <c r="F509" s="8" t="str">
        <f>IF(C509="","",IFERROR(INDEX(Lists!$C$2:$C$17,MATCH(C509,Lists!$A$2:$A$17,0)),"?"))</f>
        <v/>
      </c>
    </row>
    <row r="510" spans="1:6" x14ac:dyDescent="0.35">
      <c r="A510" s="10"/>
      <c r="B510" s="9"/>
      <c r="C510" s="9"/>
      <c r="D510" s="9"/>
      <c r="E510" s="11"/>
      <c r="F510" s="8" t="str">
        <f>IF(C510="","",IFERROR(INDEX(Lists!$C$2:$C$17,MATCH(C510,Lists!$A$2:$A$17,0)),"?"))</f>
        <v/>
      </c>
    </row>
    <row r="511" spans="1:6" x14ac:dyDescent="0.35">
      <c r="A511" s="10"/>
      <c r="B511" s="9"/>
      <c r="C511" s="9"/>
      <c r="D511" s="9"/>
      <c r="E511" s="11"/>
      <c r="F511" s="8" t="str">
        <f>IF(C511="","",IFERROR(INDEX(Lists!$C$2:$C$17,MATCH(C511,Lists!$A$2:$A$17,0)),"?"))</f>
        <v/>
      </c>
    </row>
    <row r="512" spans="1:6" x14ac:dyDescent="0.35">
      <c r="A512" s="10"/>
      <c r="B512" s="9"/>
      <c r="C512" s="9"/>
      <c r="D512" s="9"/>
      <c r="E512" s="11"/>
      <c r="F512" s="8" t="str">
        <f>IF(C512="","",IFERROR(INDEX(Lists!$C$2:$C$17,MATCH(C512,Lists!$A$2:$A$17,0)),"?"))</f>
        <v/>
      </c>
    </row>
    <row r="513" spans="1:6" x14ac:dyDescent="0.35">
      <c r="A513" s="10"/>
      <c r="B513" s="9"/>
      <c r="C513" s="9"/>
      <c r="D513" s="9"/>
      <c r="E513" s="11"/>
      <c r="F513" s="8" t="str">
        <f>IF(C513="","",IFERROR(INDEX(Lists!$C$2:$C$17,MATCH(C513,Lists!$A$2:$A$17,0)),"?"))</f>
        <v/>
      </c>
    </row>
    <row r="514" spans="1:6" x14ac:dyDescent="0.35">
      <c r="A514" s="10"/>
      <c r="B514" s="9"/>
      <c r="C514" s="9"/>
      <c r="D514" s="9"/>
      <c r="E514" s="11"/>
      <c r="F514" s="8" t="str">
        <f>IF(C514="","",IFERROR(INDEX(Lists!$C$2:$C$17,MATCH(C514,Lists!$A$2:$A$17,0)),"?"))</f>
        <v/>
      </c>
    </row>
    <row r="515" spans="1:6" x14ac:dyDescent="0.35">
      <c r="A515" s="10"/>
      <c r="B515" s="9"/>
      <c r="C515" s="9"/>
      <c r="D515" s="9"/>
      <c r="E515" s="11"/>
      <c r="F515" s="8" t="str">
        <f>IF(C515="","",IFERROR(INDEX(Lists!$C$2:$C$17,MATCH(C515,Lists!$A$2:$A$17,0)),"?"))</f>
        <v/>
      </c>
    </row>
    <row r="516" spans="1:6" x14ac:dyDescent="0.35">
      <c r="A516" s="10"/>
      <c r="B516" s="9"/>
      <c r="C516" s="9"/>
      <c r="D516" s="9"/>
      <c r="E516" s="11"/>
      <c r="F516" s="8" t="str">
        <f>IF(C516="","",IFERROR(INDEX(Lists!$C$2:$C$17,MATCH(C516,Lists!$A$2:$A$17,0)),"?"))</f>
        <v/>
      </c>
    </row>
    <row r="517" spans="1:6" x14ac:dyDescent="0.35">
      <c r="A517" s="10"/>
      <c r="B517" s="9"/>
      <c r="C517" s="9"/>
      <c r="D517" s="9"/>
      <c r="E517" s="11"/>
      <c r="F517" s="8" t="str">
        <f>IF(C517="","",IFERROR(INDEX(Lists!$C$2:$C$17,MATCH(C517,Lists!$A$2:$A$17,0)),"?"))</f>
        <v/>
      </c>
    </row>
    <row r="518" spans="1:6" x14ac:dyDescent="0.35">
      <c r="A518" s="10"/>
      <c r="B518" s="9"/>
      <c r="C518" s="9"/>
      <c r="D518" s="9"/>
      <c r="E518" s="11"/>
      <c r="F518" s="8" t="str">
        <f>IF(C518="","",IFERROR(INDEX(Lists!$C$2:$C$17,MATCH(C518,Lists!$A$2:$A$17,0)),"?"))</f>
        <v/>
      </c>
    </row>
    <row r="519" spans="1:6" x14ac:dyDescent="0.35">
      <c r="A519" s="10"/>
      <c r="B519" s="9"/>
      <c r="C519" s="9"/>
      <c r="D519" s="9"/>
      <c r="E519" s="11"/>
      <c r="F519" s="8" t="str">
        <f>IF(C519="","",IFERROR(INDEX(Lists!$C$2:$C$17,MATCH(C519,Lists!$A$2:$A$17,0)),"?"))</f>
        <v/>
      </c>
    </row>
    <row r="520" spans="1:6" x14ac:dyDescent="0.35">
      <c r="A520" s="10"/>
      <c r="B520" s="9"/>
      <c r="C520" s="9"/>
      <c r="D520" s="9"/>
      <c r="E520" s="11"/>
      <c r="F520" s="8" t="str">
        <f>IF(C520="","",IFERROR(INDEX(Lists!$C$2:$C$17,MATCH(C520,Lists!$A$2:$A$17,0)),"?"))</f>
        <v/>
      </c>
    </row>
    <row r="521" spans="1:6" x14ac:dyDescent="0.35">
      <c r="A521" s="10"/>
      <c r="B521" s="9"/>
      <c r="C521" s="9"/>
      <c r="D521" s="9"/>
      <c r="E521" s="11"/>
      <c r="F521" s="8" t="str">
        <f>IF(C521="","",IFERROR(INDEX(Lists!$C$2:$C$17,MATCH(C521,Lists!$A$2:$A$17,0)),"?"))</f>
        <v/>
      </c>
    </row>
    <row r="522" spans="1:6" x14ac:dyDescent="0.35">
      <c r="A522" s="10"/>
      <c r="B522" s="9"/>
      <c r="C522" s="9"/>
      <c r="D522" s="9"/>
      <c r="E522" s="11"/>
      <c r="F522" s="8" t="str">
        <f>IF(C522="","",IFERROR(INDEX(Lists!$C$2:$C$17,MATCH(C522,Lists!$A$2:$A$17,0)),"?"))</f>
        <v/>
      </c>
    </row>
    <row r="523" spans="1:6" x14ac:dyDescent="0.35">
      <c r="A523" s="10"/>
      <c r="B523" s="9"/>
      <c r="C523" s="9"/>
      <c r="D523" s="9"/>
      <c r="E523" s="11"/>
      <c r="F523" s="8" t="str">
        <f>IF(C523="","",IFERROR(INDEX(Lists!$C$2:$C$17,MATCH(C523,Lists!$A$2:$A$17,0)),"?"))</f>
        <v/>
      </c>
    </row>
    <row r="524" spans="1:6" x14ac:dyDescent="0.35">
      <c r="A524" s="10"/>
      <c r="B524" s="9"/>
      <c r="C524" s="9"/>
      <c r="D524" s="9"/>
      <c r="E524" s="11"/>
      <c r="F524" s="8" t="str">
        <f>IF(C524="","",IFERROR(INDEX(Lists!$C$2:$C$17,MATCH(C524,Lists!$A$2:$A$17,0)),"?"))</f>
        <v/>
      </c>
    </row>
    <row r="525" spans="1:6" x14ac:dyDescent="0.35">
      <c r="A525" s="10"/>
      <c r="B525" s="9"/>
      <c r="C525" s="9"/>
      <c r="D525" s="9"/>
      <c r="E525" s="11"/>
      <c r="F525" s="8" t="str">
        <f>IF(C525="","",IFERROR(INDEX(Lists!$C$2:$C$17,MATCH(C525,Lists!$A$2:$A$17,0)),"?"))</f>
        <v/>
      </c>
    </row>
    <row r="526" spans="1:6" x14ac:dyDescent="0.35">
      <c r="A526" s="10"/>
      <c r="B526" s="9"/>
      <c r="C526" s="9"/>
      <c r="D526" s="9"/>
      <c r="E526" s="11"/>
      <c r="F526" s="8" t="str">
        <f>IF(C526="","",IFERROR(INDEX(Lists!$C$2:$C$17,MATCH(C526,Lists!$A$2:$A$17,0)),"?"))</f>
        <v/>
      </c>
    </row>
    <row r="527" spans="1:6" x14ac:dyDescent="0.35">
      <c r="A527" s="10"/>
      <c r="B527" s="9"/>
      <c r="C527" s="9"/>
      <c r="D527" s="9"/>
      <c r="E527" s="11"/>
      <c r="F527" s="8" t="str">
        <f>IF(C527="","",IFERROR(INDEX(Lists!$C$2:$C$17,MATCH(C527,Lists!$A$2:$A$17,0)),"?"))</f>
        <v/>
      </c>
    </row>
    <row r="528" spans="1:6" x14ac:dyDescent="0.35">
      <c r="A528" s="10"/>
      <c r="B528" s="9"/>
      <c r="C528" s="9"/>
      <c r="D528" s="9"/>
      <c r="E528" s="11"/>
      <c r="F528" s="8" t="str">
        <f>IF(C528="","",IFERROR(INDEX(Lists!$C$2:$C$17,MATCH(C528,Lists!$A$2:$A$17,0)),"?"))</f>
        <v/>
      </c>
    </row>
    <row r="529" spans="1:6" x14ac:dyDescent="0.35">
      <c r="A529" s="10"/>
      <c r="B529" s="9"/>
      <c r="C529" s="9"/>
      <c r="D529" s="9"/>
      <c r="E529" s="11"/>
      <c r="F529" s="8" t="str">
        <f>IF(C529="","",IFERROR(INDEX(Lists!$C$2:$C$17,MATCH(C529,Lists!$A$2:$A$17,0)),"?"))</f>
        <v/>
      </c>
    </row>
    <row r="530" spans="1:6" x14ac:dyDescent="0.35">
      <c r="A530" s="10"/>
      <c r="B530" s="9"/>
      <c r="C530" s="9"/>
      <c r="D530" s="9"/>
      <c r="E530" s="11"/>
      <c r="F530" s="8" t="str">
        <f>IF(C530="","",IFERROR(INDEX(Lists!$C$2:$C$17,MATCH(C530,Lists!$A$2:$A$17,0)),"?"))</f>
        <v/>
      </c>
    </row>
    <row r="531" spans="1:6" x14ac:dyDescent="0.35">
      <c r="A531" s="10"/>
      <c r="B531" s="9"/>
      <c r="C531" s="9"/>
      <c r="D531" s="9"/>
      <c r="E531" s="11"/>
      <c r="F531" s="8" t="str">
        <f>IF(C531="","",IFERROR(INDEX(Lists!$C$2:$C$17,MATCH(C531,Lists!$A$2:$A$17,0)),"?"))</f>
        <v/>
      </c>
    </row>
    <row r="532" spans="1:6" x14ac:dyDescent="0.35">
      <c r="A532" s="10"/>
      <c r="B532" s="9"/>
      <c r="C532" s="9"/>
      <c r="D532" s="9"/>
      <c r="E532" s="11"/>
      <c r="F532" s="8" t="str">
        <f>IF(C532="","",IFERROR(INDEX(Lists!$C$2:$C$17,MATCH(C532,Lists!$A$2:$A$17,0)),"?"))</f>
        <v/>
      </c>
    </row>
    <row r="533" spans="1:6" x14ac:dyDescent="0.35">
      <c r="A533" s="10"/>
      <c r="B533" s="9"/>
      <c r="C533" s="9"/>
      <c r="D533" s="9"/>
      <c r="E533" s="11"/>
      <c r="F533" s="8" t="str">
        <f>IF(C533="","",IFERROR(INDEX(Lists!$C$2:$C$17,MATCH(C533,Lists!$A$2:$A$17,0)),"?"))</f>
        <v/>
      </c>
    </row>
    <row r="534" spans="1:6" x14ac:dyDescent="0.35">
      <c r="A534" s="10"/>
      <c r="B534" s="9"/>
      <c r="C534" s="9"/>
      <c r="D534" s="9"/>
      <c r="E534" s="11"/>
      <c r="F534" s="8" t="str">
        <f>IF(C534="","",IFERROR(INDEX(Lists!$C$2:$C$17,MATCH(C534,Lists!$A$2:$A$17,0)),"?"))</f>
        <v/>
      </c>
    </row>
    <row r="535" spans="1:6" x14ac:dyDescent="0.35">
      <c r="A535" s="10"/>
      <c r="B535" s="9"/>
      <c r="C535" s="9"/>
      <c r="D535" s="9"/>
      <c r="E535" s="11"/>
      <c r="F535" s="8" t="str">
        <f>IF(C535="","",IFERROR(INDEX(Lists!$C$2:$C$17,MATCH(C535,Lists!$A$2:$A$17,0)),"?"))</f>
        <v/>
      </c>
    </row>
    <row r="536" spans="1:6" x14ac:dyDescent="0.35">
      <c r="A536" s="10"/>
      <c r="B536" s="9"/>
      <c r="C536" s="9"/>
      <c r="D536" s="9"/>
      <c r="E536" s="11"/>
      <c r="F536" s="8" t="str">
        <f>IF(C536="","",IFERROR(INDEX(Lists!$C$2:$C$17,MATCH(C536,Lists!$A$2:$A$17,0)),"?"))</f>
        <v/>
      </c>
    </row>
    <row r="537" spans="1:6" x14ac:dyDescent="0.35">
      <c r="A537" s="10"/>
      <c r="B537" s="9"/>
      <c r="C537" s="9"/>
      <c r="D537" s="9"/>
      <c r="E537" s="11"/>
      <c r="F537" s="8" t="str">
        <f>IF(C537="","",IFERROR(INDEX(Lists!$C$2:$C$17,MATCH(C537,Lists!$A$2:$A$17,0)),"?"))</f>
        <v/>
      </c>
    </row>
    <row r="538" spans="1:6" x14ac:dyDescent="0.35">
      <c r="A538" s="10"/>
      <c r="B538" s="9"/>
      <c r="C538" s="9"/>
      <c r="D538" s="9"/>
      <c r="E538" s="11"/>
      <c r="F538" s="8" t="str">
        <f>IF(C538="","",IFERROR(INDEX(Lists!$C$2:$C$17,MATCH(C538,Lists!$A$2:$A$17,0)),"?"))</f>
        <v/>
      </c>
    </row>
    <row r="539" spans="1:6" x14ac:dyDescent="0.35">
      <c r="A539" s="10"/>
      <c r="B539" s="9"/>
      <c r="C539" s="9"/>
      <c r="D539" s="9"/>
      <c r="E539" s="11"/>
      <c r="F539" s="8" t="str">
        <f>IF(C539="","",IFERROR(INDEX(Lists!$C$2:$C$17,MATCH(C539,Lists!$A$2:$A$17,0)),"?"))</f>
        <v/>
      </c>
    </row>
    <row r="540" spans="1:6" x14ac:dyDescent="0.35">
      <c r="A540" s="10"/>
      <c r="B540" s="9"/>
      <c r="C540" s="9"/>
      <c r="D540" s="9"/>
      <c r="E540" s="11"/>
      <c r="F540" s="8" t="str">
        <f>IF(C540="","",IFERROR(INDEX(Lists!$C$2:$C$17,MATCH(C540,Lists!$A$2:$A$17,0)),"?"))</f>
        <v/>
      </c>
    </row>
    <row r="541" spans="1:6" x14ac:dyDescent="0.35">
      <c r="A541" s="10"/>
      <c r="B541" s="9"/>
      <c r="C541" s="9"/>
      <c r="D541" s="9"/>
      <c r="E541" s="11"/>
      <c r="F541" s="8" t="str">
        <f>IF(C541="","",IFERROR(INDEX(Lists!$C$2:$C$17,MATCH(C541,Lists!$A$2:$A$17,0)),"?"))</f>
        <v/>
      </c>
    </row>
    <row r="542" spans="1:6" x14ac:dyDescent="0.35">
      <c r="A542" s="10"/>
      <c r="B542" s="9"/>
      <c r="C542" s="9"/>
      <c r="D542" s="9"/>
      <c r="E542" s="11"/>
      <c r="F542" s="8" t="str">
        <f>IF(C542="","",IFERROR(INDEX(Lists!$C$2:$C$17,MATCH(C542,Lists!$A$2:$A$17,0)),"?"))</f>
        <v/>
      </c>
    </row>
    <row r="543" spans="1:6" x14ac:dyDescent="0.35">
      <c r="A543" s="10"/>
      <c r="B543" s="9"/>
      <c r="C543" s="9"/>
      <c r="D543" s="9"/>
      <c r="E543" s="11"/>
      <c r="F543" s="8" t="str">
        <f>IF(C543="","",IFERROR(INDEX(Lists!$C$2:$C$17,MATCH(C543,Lists!$A$2:$A$17,0)),"?"))</f>
        <v/>
      </c>
    </row>
    <row r="544" spans="1:6" x14ac:dyDescent="0.35">
      <c r="A544" s="10"/>
      <c r="B544" s="9"/>
      <c r="C544" s="9"/>
      <c r="D544" s="9"/>
      <c r="E544" s="11"/>
      <c r="F544" s="8" t="str">
        <f>IF(C544="","",IFERROR(INDEX(Lists!$C$2:$C$17,MATCH(C544,Lists!$A$2:$A$17,0)),"?"))</f>
        <v/>
      </c>
    </row>
    <row r="545" spans="1:6" x14ac:dyDescent="0.35">
      <c r="A545" s="10"/>
      <c r="B545" s="9"/>
      <c r="C545" s="9"/>
      <c r="D545" s="9"/>
      <c r="E545" s="11"/>
      <c r="F545" s="8" t="str">
        <f>IF(C545="","",IFERROR(INDEX(Lists!$C$2:$C$17,MATCH(C545,Lists!$A$2:$A$17,0)),"?"))</f>
        <v/>
      </c>
    </row>
    <row r="546" spans="1:6" x14ac:dyDescent="0.35">
      <c r="A546" s="10"/>
      <c r="B546" s="9"/>
      <c r="C546" s="9"/>
      <c r="D546" s="9"/>
      <c r="E546" s="11"/>
      <c r="F546" s="8" t="str">
        <f>IF(C546="","",IFERROR(INDEX(Lists!$C$2:$C$17,MATCH(C546,Lists!$A$2:$A$17,0)),"?"))</f>
        <v/>
      </c>
    </row>
    <row r="547" spans="1:6" x14ac:dyDescent="0.35">
      <c r="A547" s="10"/>
      <c r="B547" s="9"/>
      <c r="C547" s="9"/>
      <c r="D547" s="9"/>
      <c r="E547" s="11"/>
      <c r="F547" s="8" t="str">
        <f>IF(C547="","",IFERROR(INDEX(Lists!$C$2:$C$17,MATCH(C547,Lists!$A$2:$A$17,0)),"?"))</f>
        <v/>
      </c>
    </row>
    <row r="548" spans="1:6" x14ac:dyDescent="0.35">
      <c r="A548" s="10"/>
      <c r="B548" s="9"/>
      <c r="C548" s="9"/>
      <c r="D548" s="9"/>
      <c r="E548" s="11"/>
      <c r="F548" s="8" t="str">
        <f>IF(C548="","",IFERROR(INDEX(Lists!$C$2:$C$17,MATCH(C548,Lists!$A$2:$A$17,0)),"?"))</f>
        <v/>
      </c>
    </row>
    <row r="549" spans="1:6" x14ac:dyDescent="0.35">
      <c r="A549" s="10"/>
      <c r="B549" s="9"/>
      <c r="C549" s="9"/>
      <c r="D549" s="9"/>
      <c r="E549" s="11"/>
      <c r="F549" s="8" t="str">
        <f>IF(C549="","",IFERROR(INDEX(Lists!$C$2:$C$17,MATCH(C549,Lists!$A$2:$A$17,0)),"?"))</f>
        <v/>
      </c>
    </row>
    <row r="550" spans="1:6" x14ac:dyDescent="0.35">
      <c r="A550" s="10"/>
      <c r="B550" s="9"/>
      <c r="C550" s="9"/>
      <c r="D550" s="9"/>
      <c r="E550" s="11"/>
      <c r="F550" s="8" t="str">
        <f>IF(C550="","",IFERROR(INDEX(Lists!$C$2:$C$17,MATCH(C550,Lists!$A$2:$A$17,0)),"?"))</f>
        <v/>
      </c>
    </row>
    <row r="551" spans="1:6" x14ac:dyDescent="0.35">
      <c r="A551" s="10"/>
      <c r="B551" s="9"/>
      <c r="C551" s="9"/>
      <c r="D551" s="9"/>
      <c r="E551" s="11"/>
      <c r="F551" s="8" t="str">
        <f>IF(C551="","",IFERROR(INDEX(Lists!$C$2:$C$17,MATCH(C551,Lists!$A$2:$A$17,0)),"?"))</f>
        <v/>
      </c>
    </row>
    <row r="552" spans="1:6" x14ac:dyDescent="0.35">
      <c r="A552" s="10"/>
      <c r="B552" s="9"/>
      <c r="C552" s="9"/>
      <c r="D552" s="9"/>
      <c r="E552" s="11"/>
      <c r="F552" s="8" t="str">
        <f>IF(C552="","",IFERROR(INDEX(Lists!$C$2:$C$17,MATCH(C552,Lists!$A$2:$A$17,0)),"?"))</f>
        <v/>
      </c>
    </row>
    <row r="553" spans="1:6" x14ac:dyDescent="0.35">
      <c r="A553" s="10"/>
      <c r="B553" s="9"/>
      <c r="C553" s="9"/>
      <c r="D553" s="9"/>
      <c r="E553" s="11"/>
      <c r="F553" s="8" t="str">
        <f>IF(C553="","",IFERROR(INDEX(Lists!$C$2:$C$17,MATCH(C553,Lists!$A$2:$A$17,0)),"?"))</f>
        <v/>
      </c>
    </row>
    <row r="554" spans="1:6" x14ac:dyDescent="0.35">
      <c r="A554" s="10"/>
      <c r="B554" s="9"/>
      <c r="C554" s="9"/>
      <c r="D554" s="9"/>
      <c r="E554" s="11"/>
      <c r="F554" s="8" t="str">
        <f>IF(C554="","",IFERROR(INDEX(Lists!$C$2:$C$17,MATCH(C554,Lists!$A$2:$A$17,0)),"?"))</f>
        <v/>
      </c>
    </row>
    <row r="555" spans="1:6" x14ac:dyDescent="0.35">
      <c r="A555" s="10"/>
      <c r="B555" s="9"/>
      <c r="C555" s="9"/>
      <c r="D555" s="9"/>
      <c r="E555" s="11"/>
      <c r="F555" s="8" t="str">
        <f>IF(C555="","",IFERROR(INDEX(Lists!$C$2:$C$17,MATCH(C555,Lists!$A$2:$A$17,0)),"?"))</f>
        <v/>
      </c>
    </row>
    <row r="556" spans="1:6" x14ac:dyDescent="0.35">
      <c r="A556" s="10"/>
      <c r="B556" s="9"/>
      <c r="C556" s="9"/>
      <c r="D556" s="9"/>
      <c r="E556" s="11"/>
      <c r="F556" s="8" t="str">
        <f>IF(C556="","",IFERROR(INDEX(Lists!$C$2:$C$17,MATCH(C556,Lists!$A$2:$A$17,0)),"?"))</f>
        <v/>
      </c>
    </row>
    <row r="557" spans="1:6" x14ac:dyDescent="0.35">
      <c r="A557" s="10"/>
      <c r="B557" s="9"/>
      <c r="C557" s="9"/>
      <c r="D557" s="9"/>
      <c r="E557" s="11"/>
      <c r="F557" s="8" t="str">
        <f>IF(C557="","",IFERROR(INDEX(Lists!$C$2:$C$17,MATCH(C557,Lists!$A$2:$A$17,0)),"?"))</f>
        <v/>
      </c>
    </row>
    <row r="558" spans="1:6" x14ac:dyDescent="0.35">
      <c r="A558" s="10"/>
      <c r="B558" s="9"/>
      <c r="C558" s="9"/>
      <c r="D558" s="9"/>
      <c r="E558" s="11"/>
      <c r="F558" s="8" t="str">
        <f>IF(C558="","",IFERROR(INDEX(Lists!$C$2:$C$17,MATCH(C558,Lists!$A$2:$A$17,0)),"?"))</f>
        <v/>
      </c>
    </row>
    <row r="559" spans="1:6" x14ac:dyDescent="0.35">
      <c r="A559" s="10"/>
      <c r="B559" s="9"/>
      <c r="C559" s="9"/>
      <c r="D559" s="9"/>
      <c r="E559" s="11"/>
      <c r="F559" s="8" t="str">
        <f>IF(C559="","",IFERROR(INDEX(Lists!$C$2:$C$17,MATCH(C559,Lists!$A$2:$A$17,0)),"?"))</f>
        <v/>
      </c>
    </row>
    <row r="560" spans="1:6" x14ac:dyDescent="0.35">
      <c r="A560" s="10"/>
      <c r="B560" s="9"/>
      <c r="C560" s="9"/>
      <c r="D560" s="9"/>
      <c r="E560" s="11"/>
      <c r="F560" s="8" t="str">
        <f>IF(C560="","",IFERROR(INDEX(Lists!$C$2:$C$17,MATCH(C560,Lists!$A$2:$A$17,0)),"?"))</f>
        <v/>
      </c>
    </row>
    <row r="561" spans="1:6" x14ac:dyDescent="0.35">
      <c r="A561" s="10"/>
      <c r="B561" s="9"/>
      <c r="C561" s="9"/>
      <c r="D561" s="9"/>
      <c r="E561" s="11"/>
      <c r="F561" s="8" t="str">
        <f>IF(C561="","",IFERROR(INDEX(Lists!$C$2:$C$17,MATCH(C561,Lists!$A$2:$A$17,0)),"?"))</f>
        <v/>
      </c>
    </row>
    <row r="562" spans="1:6" x14ac:dyDescent="0.35">
      <c r="A562" s="10"/>
      <c r="B562" s="9"/>
      <c r="C562" s="9"/>
      <c r="D562" s="9"/>
      <c r="E562" s="11"/>
      <c r="F562" s="8" t="str">
        <f>IF(C562="","",IFERROR(INDEX(Lists!$C$2:$C$17,MATCH(C562,Lists!$A$2:$A$17,0)),"?"))</f>
        <v/>
      </c>
    </row>
    <row r="563" spans="1:6" x14ac:dyDescent="0.35">
      <c r="A563" s="10"/>
      <c r="B563" s="9"/>
      <c r="C563" s="9"/>
      <c r="D563" s="9"/>
      <c r="E563" s="11"/>
      <c r="F563" s="8" t="str">
        <f>IF(C563="","",IFERROR(INDEX(Lists!$C$2:$C$17,MATCH(C563,Lists!$A$2:$A$17,0)),"?"))</f>
        <v/>
      </c>
    </row>
    <row r="564" spans="1:6" x14ac:dyDescent="0.35">
      <c r="A564" s="10"/>
      <c r="B564" s="9"/>
      <c r="C564" s="9"/>
      <c r="D564" s="9"/>
      <c r="E564" s="11"/>
      <c r="F564" s="8" t="str">
        <f>IF(C564="","",IFERROR(INDEX(Lists!$C$2:$C$17,MATCH(C564,Lists!$A$2:$A$17,0)),"?"))</f>
        <v/>
      </c>
    </row>
    <row r="565" spans="1:6" x14ac:dyDescent="0.35">
      <c r="A565" s="10"/>
      <c r="B565" s="9"/>
      <c r="C565" s="9"/>
      <c r="D565" s="9"/>
      <c r="E565" s="11"/>
      <c r="F565" s="8" t="str">
        <f>IF(C565="","",IFERROR(INDEX(Lists!$C$2:$C$17,MATCH(C565,Lists!$A$2:$A$17,0)),"?"))</f>
        <v/>
      </c>
    </row>
    <row r="566" spans="1:6" x14ac:dyDescent="0.35">
      <c r="A566" s="10"/>
      <c r="B566" s="9"/>
      <c r="C566" s="9"/>
      <c r="D566" s="9"/>
      <c r="E566" s="11"/>
      <c r="F566" s="8" t="str">
        <f>IF(C566="","",IFERROR(INDEX(Lists!$C$2:$C$17,MATCH(C566,Lists!$A$2:$A$17,0)),"?"))</f>
        <v/>
      </c>
    </row>
    <row r="567" spans="1:6" x14ac:dyDescent="0.35">
      <c r="A567" s="10"/>
      <c r="B567" s="9"/>
      <c r="C567" s="9"/>
      <c r="D567" s="9"/>
      <c r="E567" s="11"/>
      <c r="F567" s="8" t="str">
        <f>IF(C567="","",IFERROR(INDEX(Lists!$C$2:$C$17,MATCH(C567,Lists!$A$2:$A$17,0)),"?"))</f>
        <v/>
      </c>
    </row>
    <row r="568" spans="1:6" x14ac:dyDescent="0.35">
      <c r="A568" s="10"/>
      <c r="B568" s="9"/>
      <c r="C568" s="9"/>
      <c r="D568" s="9"/>
      <c r="E568" s="11"/>
      <c r="F568" s="8" t="str">
        <f>IF(C568="","",IFERROR(INDEX(Lists!$C$2:$C$17,MATCH(C568,Lists!$A$2:$A$17,0)),"?"))</f>
        <v/>
      </c>
    </row>
    <row r="569" spans="1:6" x14ac:dyDescent="0.35">
      <c r="A569" s="10"/>
      <c r="B569" s="9"/>
      <c r="C569" s="9"/>
      <c r="D569" s="9"/>
      <c r="E569" s="11"/>
      <c r="F569" s="8" t="str">
        <f>IF(C569="","",IFERROR(INDEX(Lists!$C$2:$C$17,MATCH(C569,Lists!$A$2:$A$17,0)),"?"))</f>
        <v/>
      </c>
    </row>
    <row r="570" spans="1:6" x14ac:dyDescent="0.35">
      <c r="A570" s="10"/>
      <c r="B570" s="9"/>
      <c r="C570" s="9"/>
      <c r="D570" s="9"/>
      <c r="E570" s="11"/>
      <c r="F570" s="8" t="str">
        <f>IF(C570="","",IFERROR(INDEX(Lists!$C$2:$C$17,MATCH(C570,Lists!$A$2:$A$17,0)),"?"))</f>
        <v/>
      </c>
    </row>
    <row r="571" spans="1:6" x14ac:dyDescent="0.35">
      <c r="A571" s="10"/>
      <c r="B571" s="9"/>
      <c r="C571" s="9"/>
      <c r="D571" s="9"/>
      <c r="E571" s="11"/>
      <c r="F571" s="8" t="str">
        <f>IF(C571="","",IFERROR(INDEX(Lists!$C$2:$C$17,MATCH(C571,Lists!$A$2:$A$17,0)),"?"))</f>
        <v/>
      </c>
    </row>
    <row r="572" spans="1:6" x14ac:dyDescent="0.35">
      <c r="A572" s="10"/>
      <c r="B572" s="9"/>
      <c r="C572" s="9"/>
      <c r="D572" s="9"/>
      <c r="E572" s="11"/>
      <c r="F572" s="8" t="str">
        <f>IF(C572="","",IFERROR(INDEX(Lists!$C$2:$C$17,MATCH(C572,Lists!$A$2:$A$17,0)),"?"))</f>
        <v/>
      </c>
    </row>
    <row r="573" spans="1:6" x14ac:dyDescent="0.35">
      <c r="A573" s="10"/>
      <c r="B573" s="9"/>
      <c r="C573" s="9"/>
      <c r="D573" s="9"/>
      <c r="E573" s="11"/>
      <c r="F573" s="8" t="str">
        <f>IF(C573="","",IFERROR(INDEX(Lists!$C$2:$C$17,MATCH(C573,Lists!$A$2:$A$17,0)),"?"))</f>
        <v/>
      </c>
    </row>
    <row r="574" spans="1:6" x14ac:dyDescent="0.35">
      <c r="A574" s="10"/>
      <c r="B574" s="9"/>
      <c r="C574" s="9"/>
      <c r="D574" s="9"/>
      <c r="E574" s="11"/>
      <c r="F574" s="8" t="str">
        <f>IF(C574="","",IFERROR(INDEX(Lists!$C$2:$C$17,MATCH(C574,Lists!$A$2:$A$17,0)),"?"))</f>
        <v/>
      </c>
    </row>
    <row r="575" spans="1:6" x14ac:dyDescent="0.35">
      <c r="A575" s="10"/>
      <c r="B575" s="9"/>
      <c r="C575" s="9"/>
      <c r="D575" s="9"/>
      <c r="E575" s="11"/>
      <c r="F575" s="8" t="str">
        <f>IF(C575="","",IFERROR(INDEX(Lists!$C$2:$C$17,MATCH(C575,Lists!$A$2:$A$17,0)),"?"))</f>
        <v/>
      </c>
    </row>
    <row r="576" spans="1:6" x14ac:dyDescent="0.35">
      <c r="A576" s="10"/>
      <c r="B576" s="9"/>
      <c r="C576" s="9"/>
      <c r="D576" s="9"/>
      <c r="E576" s="11"/>
      <c r="F576" s="8" t="str">
        <f>IF(C576="","",IFERROR(INDEX(Lists!$C$2:$C$17,MATCH(C576,Lists!$A$2:$A$17,0)),"?"))</f>
        <v/>
      </c>
    </row>
    <row r="577" spans="1:6" x14ac:dyDescent="0.35">
      <c r="A577" s="10"/>
      <c r="B577" s="9"/>
      <c r="C577" s="9"/>
      <c r="D577" s="9"/>
      <c r="E577" s="11"/>
      <c r="F577" s="8" t="str">
        <f>IF(C577="","",IFERROR(INDEX(Lists!$C$2:$C$17,MATCH(C577,Lists!$A$2:$A$17,0)),"?"))</f>
        <v/>
      </c>
    </row>
    <row r="578" spans="1:6" x14ac:dyDescent="0.35">
      <c r="A578" s="10"/>
      <c r="B578" s="9"/>
      <c r="C578" s="9"/>
      <c r="D578" s="9"/>
      <c r="E578" s="11"/>
      <c r="F578" s="8" t="str">
        <f>IF(C578="","",IFERROR(INDEX(Lists!$C$2:$C$17,MATCH(C578,Lists!$A$2:$A$17,0)),"?"))</f>
        <v/>
      </c>
    </row>
    <row r="579" spans="1:6" x14ac:dyDescent="0.35">
      <c r="A579" s="10"/>
      <c r="B579" s="9"/>
      <c r="C579" s="9"/>
      <c r="D579" s="9"/>
      <c r="E579" s="11"/>
      <c r="F579" s="8" t="str">
        <f>IF(C579="","",IFERROR(INDEX(Lists!$C$2:$C$17,MATCH(C579,Lists!$A$2:$A$17,0)),"?"))</f>
        <v/>
      </c>
    </row>
    <row r="580" spans="1:6" x14ac:dyDescent="0.35">
      <c r="A580" s="10"/>
      <c r="B580" s="9"/>
      <c r="C580" s="9"/>
      <c r="D580" s="9"/>
      <c r="E580" s="11"/>
      <c r="F580" s="8" t="str">
        <f>IF(C580="","",IFERROR(INDEX(Lists!$C$2:$C$17,MATCH(C580,Lists!$A$2:$A$17,0)),"?"))</f>
        <v/>
      </c>
    </row>
    <row r="581" spans="1:6" x14ac:dyDescent="0.35">
      <c r="A581" s="10"/>
      <c r="B581" s="9"/>
      <c r="C581" s="9"/>
      <c r="D581" s="9"/>
      <c r="E581" s="11"/>
      <c r="F581" s="8" t="str">
        <f>IF(C581="","",IFERROR(INDEX(Lists!$C$2:$C$17,MATCH(C581,Lists!$A$2:$A$17,0)),"?"))</f>
        <v/>
      </c>
    </row>
    <row r="582" spans="1:6" x14ac:dyDescent="0.35">
      <c r="A582" s="10"/>
      <c r="B582" s="9"/>
      <c r="C582" s="9"/>
      <c r="D582" s="9"/>
      <c r="E582" s="11"/>
      <c r="F582" s="8" t="str">
        <f>IF(C582="","",IFERROR(INDEX(Lists!$C$2:$C$17,MATCH(C582,Lists!$A$2:$A$17,0)),"?"))</f>
        <v/>
      </c>
    </row>
    <row r="583" spans="1:6" x14ac:dyDescent="0.35">
      <c r="A583" s="10"/>
      <c r="B583" s="9"/>
      <c r="C583" s="9"/>
      <c r="D583" s="9"/>
      <c r="E583" s="11"/>
      <c r="F583" s="8" t="str">
        <f>IF(C583="","",IFERROR(INDEX(Lists!$C$2:$C$17,MATCH(C583,Lists!$A$2:$A$17,0)),"?"))</f>
        <v/>
      </c>
    </row>
    <row r="584" spans="1:6" x14ac:dyDescent="0.35">
      <c r="A584" s="10"/>
      <c r="B584" s="9"/>
      <c r="C584" s="9"/>
      <c r="D584" s="9"/>
      <c r="E584" s="11"/>
      <c r="F584" s="8" t="str">
        <f>IF(C584="","",IFERROR(INDEX(Lists!$C$2:$C$17,MATCH(C584,Lists!$A$2:$A$17,0)),"?"))</f>
        <v/>
      </c>
    </row>
    <row r="585" spans="1:6" x14ac:dyDescent="0.35">
      <c r="A585" s="10"/>
      <c r="B585" s="9"/>
      <c r="C585" s="9"/>
      <c r="D585" s="9"/>
      <c r="E585" s="11"/>
      <c r="F585" s="8" t="str">
        <f>IF(C585="","",IFERROR(INDEX(Lists!$C$2:$C$17,MATCH(C585,Lists!$A$2:$A$17,0)),"?"))</f>
        <v/>
      </c>
    </row>
    <row r="586" spans="1:6" x14ac:dyDescent="0.35">
      <c r="A586" s="10"/>
      <c r="B586" s="9"/>
      <c r="C586" s="9"/>
      <c r="D586" s="9"/>
      <c r="E586" s="11"/>
      <c r="F586" s="8" t="str">
        <f>IF(C586="","",IFERROR(INDEX(Lists!$C$2:$C$17,MATCH(C586,Lists!$A$2:$A$17,0)),"?"))</f>
        <v/>
      </c>
    </row>
    <row r="587" spans="1:6" x14ac:dyDescent="0.35">
      <c r="A587" s="10"/>
      <c r="B587" s="9"/>
      <c r="C587" s="9"/>
      <c r="D587" s="9"/>
      <c r="E587" s="11"/>
      <c r="F587" s="8" t="str">
        <f>IF(C587="","",IFERROR(INDEX(Lists!$C$2:$C$17,MATCH(C587,Lists!$A$2:$A$17,0)),"?"))</f>
        <v/>
      </c>
    </row>
    <row r="588" spans="1:6" x14ac:dyDescent="0.35">
      <c r="A588" s="10"/>
      <c r="B588" s="9"/>
      <c r="C588" s="9"/>
      <c r="D588" s="9"/>
      <c r="E588" s="11"/>
      <c r="F588" s="8" t="str">
        <f>IF(C588="","",IFERROR(INDEX(Lists!$C$2:$C$17,MATCH(C588,Lists!$A$2:$A$17,0)),"?"))</f>
        <v/>
      </c>
    </row>
    <row r="589" spans="1:6" x14ac:dyDescent="0.35">
      <c r="A589" s="10"/>
      <c r="B589" s="9"/>
      <c r="C589" s="9"/>
      <c r="D589" s="9"/>
      <c r="E589" s="11"/>
      <c r="F589" s="8" t="str">
        <f>IF(C589="","",IFERROR(INDEX(Lists!$C$2:$C$17,MATCH(C589,Lists!$A$2:$A$17,0)),"?"))</f>
        <v/>
      </c>
    </row>
    <row r="590" spans="1:6" x14ac:dyDescent="0.35">
      <c r="A590" s="10"/>
      <c r="B590" s="9"/>
      <c r="C590" s="9"/>
      <c r="D590" s="9"/>
      <c r="E590" s="11"/>
      <c r="F590" s="8" t="str">
        <f>IF(C590="","",IFERROR(INDEX(Lists!$C$2:$C$17,MATCH(C590,Lists!$A$2:$A$17,0)),"?"))</f>
        <v/>
      </c>
    </row>
    <row r="591" spans="1:6" x14ac:dyDescent="0.35">
      <c r="A591" s="10"/>
      <c r="B591" s="9"/>
      <c r="C591" s="9"/>
      <c r="D591" s="9"/>
      <c r="E591" s="11"/>
      <c r="F591" s="8" t="str">
        <f>IF(C591="","",IFERROR(INDEX(Lists!$C$2:$C$17,MATCH(C591,Lists!$A$2:$A$17,0)),"?"))</f>
        <v/>
      </c>
    </row>
    <row r="592" spans="1:6" x14ac:dyDescent="0.35">
      <c r="A592" s="10"/>
      <c r="B592" s="9"/>
      <c r="C592" s="9"/>
      <c r="D592" s="9"/>
      <c r="E592" s="11"/>
      <c r="F592" s="8" t="str">
        <f>IF(C592="","",IFERROR(INDEX(Lists!$C$2:$C$17,MATCH(C592,Lists!$A$2:$A$17,0)),"?"))</f>
        <v/>
      </c>
    </row>
    <row r="593" spans="1:6" x14ac:dyDescent="0.35">
      <c r="A593" s="10"/>
      <c r="B593" s="9"/>
      <c r="C593" s="9"/>
      <c r="D593" s="9"/>
      <c r="E593" s="11"/>
      <c r="F593" s="8" t="str">
        <f>IF(C593="","",IFERROR(INDEX(Lists!$C$2:$C$17,MATCH(C593,Lists!$A$2:$A$17,0)),"?"))</f>
        <v/>
      </c>
    </row>
    <row r="594" spans="1:6" x14ac:dyDescent="0.35">
      <c r="A594" s="10"/>
      <c r="B594" s="9"/>
      <c r="C594" s="9"/>
      <c r="D594" s="9"/>
      <c r="E594" s="11"/>
      <c r="F594" s="8" t="str">
        <f>IF(C594="","",IFERROR(INDEX(Lists!$C$2:$C$17,MATCH(C594,Lists!$A$2:$A$17,0)),"?"))</f>
        <v/>
      </c>
    </row>
    <row r="595" spans="1:6" x14ac:dyDescent="0.35">
      <c r="A595" s="10"/>
      <c r="B595" s="9"/>
      <c r="C595" s="9"/>
      <c r="D595" s="9"/>
      <c r="E595" s="11"/>
      <c r="F595" s="8" t="str">
        <f>IF(C595="","",IFERROR(INDEX(Lists!$C$2:$C$17,MATCH(C595,Lists!$A$2:$A$17,0)),"?"))</f>
        <v/>
      </c>
    </row>
    <row r="596" spans="1:6" x14ac:dyDescent="0.35">
      <c r="A596" s="10"/>
      <c r="B596" s="9"/>
      <c r="C596" s="9"/>
      <c r="D596" s="9"/>
      <c r="E596" s="11"/>
      <c r="F596" s="8" t="str">
        <f>IF(C596="","",IFERROR(INDEX(Lists!$C$2:$C$17,MATCH(C596,Lists!$A$2:$A$17,0)),"?"))</f>
        <v/>
      </c>
    </row>
    <row r="597" spans="1:6" x14ac:dyDescent="0.35">
      <c r="A597" s="10"/>
      <c r="B597" s="9"/>
      <c r="C597" s="9"/>
      <c r="D597" s="9"/>
      <c r="E597" s="11"/>
      <c r="F597" s="8" t="str">
        <f>IF(C597="","",IFERROR(INDEX(Lists!$C$2:$C$17,MATCH(C597,Lists!$A$2:$A$17,0)),"?"))</f>
        <v/>
      </c>
    </row>
    <row r="598" spans="1:6" x14ac:dyDescent="0.35">
      <c r="A598" s="10"/>
      <c r="B598" s="9"/>
      <c r="C598" s="9"/>
      <c r="D598" s="9"/>
      <c r="E598" s="11"/>
      <c r="F598" s="8" t="str">
        <f>IF(C598="","",IFERROR(INDEX(Lists!$C$2:$C$17,MATCH(C598,Lists!$A$2:$A$17,0)),"?"))</f>
        <v/>
      </c>
    </row>
    <row r="599" spans="1:6" x14ac:dyDescent="0.35">
      <c r="A599" s="10"/>
      <c r="B599" s="9"/>
      <c r="C599" s="9"/>
      <c r="D599" s="9"/>
      <c r="E599" s="11"/>
      <c r="F599" s="8" t="str">
        <f>IF(C599="","",IFERROR(INDEX(Lists!$C$2:$C$17,MATCH(C599,Lists!$A$2:$A$17,0)),"?"))</f>
        <v/>
      </c>
    </row>
    <row r="600" spans="1:6" x14ac:dyDescent="0.35">
      <c r="A600" s="10"/>
      <c r="B600" s="9"/>
      <c r="C600" s="9"/>
      <c r="D600" s="9"/>
      <c r="E600" s="11"/>
      <c r="F600" s="8" t="str">
        <f>IF(C600="","",IFERROR(INDEX(Lists!$C$2:$C$17,MATCH(C600,Lists!$A$2:$A$17,0)),"?"))</f>
        <v/>
      </c>
    </row>
    <row r="601" spans="1:6" x14ac:dyDescent="0.35">
      <c r="A601" s="10"/>
      <c r="B601" s="9"/>
      <c r="C601" s="9"/>
      <c r="D601" s="9"/>
      <c r="E601" s="11"/>
      <c r="F601" s="8" t="str">
        <f>IF(C601="","",IFERROR(INDEX(Lists!$C$2:$C$17,MATCH(C601,Lists!$A$2:$A$17,0)),"?"))</f>
        <v/>
      </c>
    </row>
    <row r="602" spans="1:6" x14ac:dyDescent="0.35">
      <c r="A602" s="10"/>
      <c r="B602" s="9"/>
      <c r="C602" s="9"/>
      <c r="D602" s="9"/>
      <c r="E602" s="11"/>
      <c r="F602" s="8" t="str">
        <f>IF(C602="","",IFERROR(INDEX(Lists!$C$2:$C$17,MATCH(C602,Lists!$A$2:$A$17,0)),"?"))</f>
        <v/>
      </c>
    </row>
    <row r="603" spans="1:6" x14ac:dyDescent="0.35">
      <c r="A603" s="10"/>
      <c r="B603" s="9"/>
      <c r="C603" s="9"/>
      <c r="D603" s="9"/>
      <c r="E603" s="11"/>
      <c r="F603" s="8" t="str">
        <f>IF(C603="","",IFERROR(INDEX(Lists!$C$2:$C$17,MATCH(C603,Lists!$A$2:$A$17,0)),"?"))</f>
        <v/>
      </c>
    </row>
    <row r="604" spans="1:6" x14ac:dyDescent="0.35">
      <c r="A604" s="10"/>
      <c r="B604" s="9"/>
      <c r="C604" s="9"/>
      <c r="D604" s="9"/>
      <c r="E604" s="11"/>
      <c r="F604" s="8" t="str">
        <f>IF(C604="","",IFERROR(INDEX(Lists!$C$2:$C$17,MATCH(C604,Lists!$A$2:$A$17,0)),"?"))</f>
        <v/>
      </c>
    </row>
    <row r="605" spans="1:6" x14ac:dyDescent="0.35">
      <c r="A605" s="10"/>
      <c r="B605" s="9"/>
      <c r="C605" s="9"/>
      <c r="D605" s="9"/>
      <c r="E605" s="11"/>
      <c r="F605" s="8" t="str">
        <f>IF(C605="","",IFERROR(INDEX(Lists!$C$2:$C$17,MATCH(C605,Lists!$A$2:$A$17,0)),"?"))</f>
        <v/>
      </c>
    </row>
    <row r="606" spans="1:6" x14ac:dyDescent="0.35">
      <c r="A606" s="10"/>
      <c r="B606" s="9"/>
      <c r="C606" s="9"/>
      <c r="D606" s="9"/>
      <c r="E606" s="11"/>
      <c r="F606" s="8" t="str">
        <f>IF(C606="","",IFERROR(INDEX(Lists!$C$2:$C$17,MATCH(C606,Lists!$A$2:$A$17,0)),"?"))</f>
        <v/>
      </c>
    </row>
    <row r="607" spans="1:6" x14ac:dyDescent="0.35">
      <c r="A607" s="10"/>
      <c r="B607" s="9"/>
      <c r="C607" s="9"/>
      <c r="D607" s="9"/>
      <c r="E607" s="11"/>
      <c r="F607" s="8" t="str">
        <f>IF(C607="","",IFERROR(INDEX(Lists!$C$2:$C$17,MATCH(C607,Lists!$A$2:$A$17,0)),"?"))</f>
        <v/>
      </c>
    </row>
    <row r="608" spans="1:6" x14ac:dyDescent="0.35">
      <c r="A608" s="10"/>
      <c r="B608" s="9"/>
      <c r="C608" s="9"/>
      <c r="D608" s="9"/>
      <c r="E608" s="11"/>
      <c r="F608" s="8" t="str">
        <f>IF(C608="","",IFERROR(INDEX(Lists!$C$2:$C$17,MATCH(C608,Lists!$A$2:$A$17,0)),"?"))</f>
        <v/>
      </c>
    </row>
    <row r="609" spans="1:6" x14ac:dyDescent="0.35">
      <c r="A609" s="10"/>
      <c r="B609" s="9"/>
      <c r="C609" s="9"/>
      <c r="D609" s="9"/>
      <c r="E609" s="11"/>
      <c r="F609" s="8" t="str">
        <f>IF(C609="","",IFERROR(INDEX(Lists!$C$2:$C$17,MATCH(C609,Lists!$A$2:$A$17,0)),"?"))</f>
        <v/>
      </c>
    </row>
    <row r="610" spans="1:6" x14ac:dyDescent="0.35">
      <c r="A610" s="10"/>
      <c r="B610" s="9"/>
      <c r="C610" s="9"/>
      <c r="D610" s="9"/>
      <c r="E610" s="11"/>
      <c r="F610" s="8" t="str">
        <f>IF(C610="","",IFERROR(INDEX(Lists!$C$2:$C$17,MATCH(C610,Lists!$A$2:$A$17,0)),"?"))</f>
        <v/>
      </c>
    </row>
    <row r="611" spans="1:6" x14ac:dyDescent="0.35">
      <c r="A611" s="10"/>
      <c r="B611" s="9"/>
      <c r="C611" s="9"/>
      <c r="D611" s="9"/>
      <c r="E611" s="11"/>
      <c r="F611" s="8" t="str">
        <f>IF(C611="","",IFERROR(INDEX(Lists!$C$2:$C$17,MATCH(C611,Lists!$A$2:$A$17,0)),"?"))</f>
        <v/>
      </c>
    </row>
    <row r="612" spans="1:6" x14ac:dyDescent="0.35">
      <c r="A612" s="10"/>
      <c r="B612" s="9"/>
      <c r="C612" s="9"/>
      <c r="D612" s="9"/>
      <c r="E612" s="11"/>
      <c r="F612" s="8" t="str">
        <f>IF(C612="","",IFERROR(INDEX(Lists!$C$2:$C$17,MATCH(C612,Lists!$A$2:$A$17,0)),"?"))</f>
        <v/>
      </c>
    </row>
    <row r="613" spans="1:6" x14ac:dyDescent="0.35">
      <c r="A613" s="10"/>
      <c r="B613" s="9"/>
      <c r="C613" s="9"/>
      <c r="D613" s="9"/>
      <c r="E613" s="11"/>
      <c r="F613" s="8" t="str">
        <f>IF(C613="","",IFERROR(INDEX(Lists!$C$2:$C$17,MATCH(C613,Lists!$A$2:$A$17,0)),"?"))</f>
        <v/>
      </c>
    </row>
    <row r="614" spans="1:6" x14ac:dyDescent="0.35">
      <c r="A614" s="10"/>
      <c r="B614" s="9"/>
      <c r="C614" s="9"/>
      <c r="D614" s="9"/>
      <c r="E614" s="11"/>
      <c r="F614" s="8" t="str">
        <f>IF(C614="","",IFERROR(INDEX(Lists!$C$2:$C$17,MATCH(C614,Lists!$A$2:$A$17,0)),"?"))</f>
        <v/>
      </c>
    </row>
    <row r="615" spans="1:6" x14ac:dyDescent="0.35">
      <c r="A615" s="10"/>
      <c r="B615" s="9"/>
      <c r="C615" s="9"/>
      <c r="D615" s="9"/>
      <c r="E615" s="11"/>
      <c r="F615" s="8" t="str">
        <f>IF(C615="","",IFERROR(INDEX(Lists!$C$2:$C$17,MATCH(C615,Lists!$A$2:$A$17,0)),"?"))</f>
        <v/>
      </c>
    </row>
    <row r="616" spans="1:6" x14ac:dyDescent="0.35">
      <c r="A616" s="10"/>
      <c r="B616" s="9"/>
      <c r="C616" s="9"/>
      <c r="D616" s="9"/>
      <c r="E616" s="11"/>
      <c r="F616" s="8" t="str">
        <f>IF(C616="","",IFERROR(INDEX(Lists!$C$2:$C$17,MATCH(C616,Lists!$A$2:$A$17,0)),"?"))</f>
        <v/>
      </c>
    </row>
    <row r="617" spans="1:6" x14ac:dyDescent="0.35">
      <c r="A617" s="10"/>
      <c r="B617" s="9"/>
      <c r="C617" s="9"/>
      <c r="D617" s="9"/>
      <c r="E617" s="11"/>
      <c r="F617" s="8" t="str">
        <f>IF(C617="","",IFERROR(INDEX(Lists!$C$2:$C$17,MATCH(C617,Lists!$A$2:$A$17,0)),"?"))</f>
        <v/>
      </c>
    </row>
    <row r="618" spans="1:6" x14ac:dyDescent="0.35">
      <c r="A618" s="10"/>
      <c r="B618" s="9"/>
      <c r="C618" s="9"/>
      <c r="D618" s="9"/>
      <c r="E618" s="11"/>
      <c r="F618" s="8" t="str">
        <f>IF(C618="","",IFERROR(INDEX(Lists!$C$2:$C$17,MATCH(C618,Lists!$A$2:$A$17,0)),"?"))</f>
        <v/>
      </c>
    </row>
    <row r="619" spans="1:6" x14ac:dyDescent="0.35">
      <c r="A619" s="10"/>
      <c r="B619" s="9"/>
      <c r="C619" s="9"/>
      <c r="D619" s="9"/>
      <c r="E619" s="11"/>
      <c r="F619" s="8" t="str">
        <f>IF(C619="","",IFERROR(INDEX(Lists!$C$2:$C$17,MATCH(C619,Lists!$A$2:$A$17,0)),"?"))</f>
        <v/>
      </c>
    </row>
    <row r="620" spans="1:6" x14ac:dyDescent="0.35">
      <c r="A620" s="10"/>
      <c r="B620" s="9"/>
      <c r="C620" s="9"/>
      <c r="D620" s="9"/>
      <c r="E620" s="11"/>
      <c r="F620" s="8" t="str">
        <f>IF(C620="","",IFERROR(INDEX(Lists!$C$2:$C$17,MATCH(C620,Lists!$A$2:$A$17,0)),"?"))</f>
        <v/>
      </c>
    </row>
    <row r="621" spans="1:6" x14ac:dyDescent="0.35">
      <c r="A621" s="10"/>
      <c r="B621" s="9"/>
      <c r="C621" s="9"/>
      <c r="D621" s="9"/>
      <c r="E621" s="11"/>
      <c r="F621" s="8" t="str">
        <f>IF(C621="","",IFERROR(INDEX(Lists!$C$2:$C$17,MATCH(C621,Lists!$A$2:$A$17,0)),"?"))</f>
        <v/>
      </c>
    </row>
    <row r="622" spans="1:6" x14ac:dyDescent="0.35">
      <c r="A622" s="10"/>
      <c r="B622" s="9"/>
      <c r="C622" s="9"/>
      <c r="D622" s="9"/>
      <c r="E622" s="11"/>
      <c r="F622" s="8" t="str">
        <f>IF(C622="","",IFERROR(INDEX(Lists!$C$2:$C$17,MATCH(C622,Lists!$A$2:$A$17,0)),"?"))</f>
        <v/>
      </c>
    </row>
    <row r="623" spans="1:6" x14ac:dyDescent="0.35">
      <c r="A623" s="10"/>
      <c r="B623" s="9"/>
      <c r="C623" s="9"/>
      <c r="D623" s="9"/>
      <c r="E623" s="11"/>
      <c r="F623" s="8" t="str">
        <f>IF(C623="","",IFERROR(INDEX(Lists!$C$2:$C$17,MATCH(C623,Lists!$A$2:$A$17,0)),"?"))</f>
        <v/>
      </c>
    </row>
    <row r="624" spans="1:6" x14ac:dyDescent="0.35">
      <c r="A624" s="10"/>
      <c r="B624" s="9"/>
      <c r="C624" s="9"/>
      <c r="D624" s="9"/>
      <c r="E624" s="11"/>
      <c r="F624" s="8" t="str">
        <f>IF(C624="","",IFERROR(INDEX(Lists!$C$2:$C$17,MATCH(C624,Lists!$A$2:$A$17,0)),"?"))</f>
        <v/>
      </c>
    </row>
    <row r="625" spans="1:6" x14ac:dyDescent="0.35">
      <c r="A625" s="10"/>
      <c r="B625" s="9"/>
      <c r="C625" s="9"/>
      <c r="D625" s="9"/>
      <c r="E625" s="11"/>
      <c r="F625" s="8" t="str">
        <f>IF(C625="","",IFERROR(INDEX(Lists!$C$2:$C$17,MATCH(C625,Lists!$A$2:$A$17,0)),"?"))</f>
        <v/>
      </c>
    </row>
    <row r="626" spans="1:6" x14ac:dyDescent="0.35">
      <c r="A626" s="10"/>
      <c r="B626" s="9"/>
      <c r="C626" s="9"/>
      <c r="D626" s="9"/>
      <c r="E626" s="11"/>
      <c r="F626" s="8" t="str">
        <f>IF(C626="","",IFERROR(INDEX(Lists!$C$2:$C$17,MATCH(C626,Lists!$A$2:$A$17,0)),"?"))</f>
        <v/>
      </c>
    </row>
    <row r="627" spans="1:6" x14ac:dyDescent="0.35">
      <c r="A627" s="10"/>
      <c r="B627" s="9"/>
      <c r="C627" s="9"/>
      <c r="D627" s="9"/>
      <c r="E627" s="11"/>
      <c r="F627" s="8" t="str">
        <f>IF(C627="","",IFERROR(INDEX(Lists!$C$2:$C$17,MATCH(C627,Lists!$A$2:$A$17,0)),"?"))</f>
        <v/>
      </c>
    </row>
    <row r="628" spans="1:6" x14ac:dyDescent="0.35">
      <c r="A628" s="10"/>
      <c r="B628" s="9"/>
      <c r="C628" s="9"/>
      <c r="D628" s="9"/>
      <c r="E628" s="11"/>
      <c r="F628" s="8" t="str">
        <f>IF(C628="","",IFERROR(INDEX(Lists!$C$2:$C$17,MATCH(C628,Lists!$A$2:$A$17,0)),"?"))</f>
        <v/>
      </c>
    </row>
    <row r="629" spans="1:6" x14ac:dyDescent="0.35">
      <c r="A629" s="10"/>
      <c r="B629" s="9"/>
      <c r="C629" s="9"/>
      <c r="D629" s="9"/>
      <c r="E629" s="11"/>
      <c r="F629" s="8" t="str">
        <f>IF(C629="","",IFERROR(INDEX(Lists!$C$2:$C$17,MATCH(C629,Lists!$A$2:$A$17,0)),"?"))</f>
        <v/>
      </c>
    </row>
    <row r="630" spans="1:6" x14ac:dyDescent="0.35">
      <c r="A630" s="10"/>
      <c r="B630" s="9"/>
      <c r="C630" s="9"/>
      <c r="D630" s="9"/>
      <c r="E630" s="11"/>
      <c r="F630" s="8" t="str">
        <f>IF(C630="","",IFERROR(INDEX(Lists!$C$2:$C$17,MATCH(C630,Lists!$A$2:$A$17,0)),"?"))</f>
        <v/>
      </c>
    </row>
    <row r="631" spans="1:6" x14ac:dyDescent="0.35">
      <c r="A631" s="10"/>
      <c r="B631" s="9"/>
      <c r="C631" s="9"/>
      <c r="D631" s="9"/>
      <c r="E631" s="11"/>
      <c r="F631" s="8" t="str">
        <f>IF(C631="","",IFERROR(INDEX(Lists!$C$2:$C$17,MATCH(C631,Lists!$A$2:$A$17,0)),"?"))</f>
        <v/>
      </c>
    </row>
    <row r="632" spans="1:6" x14ac:dyDescent="0.35">
      <c r="A632" s="10"/>
      <c r="B632" s="9"/>
      <c r="C632" s="9"/>
      <c r="D632" s="9"/>
      <c r="E632" s="11"/>
      <c r="F632" s="8" t="str">
        <f>IF(C632="","",IFERROR(INDEX(Lists!$C$2:$C$17,MATCH(C632,Lists!$A$2:$A$17,0)),"?"))</f>
        <v/>
      </c>
    </row>
    <row r="633" spans="1:6" x14ac:dyDescent="0.35">
      <c r="A633" s="10"/>
      <c r="B633" s="9"/>
      <c r="C633" s="9"/>
      <c r="D633" s="9"/>
      <c r="E633" s="11"/>
      <c r="F633" s="8" t="str">
        <f>IF(C633="","",IFERROR(INDEX(Lists!$C$2:$C$17,MATCH(C633,Lists!$A$2:$A$17,0)),"?"))</f>
        <v/>
      </c>
    </row>
    <row r="634" spans="1:6" x14ac:dyDescent="0.35">
      <c r="A634" s="10"/>
      <c r="B634" s="9"/>
      <c r="C634" s="9"/>
      <c r="D634" s="9"/>
      <c r="E634" s="11"/>
      <c r="F634" s="8" t="str">
        <f>IF(C634="","",IFERROR(INDEX(Lists!$C$2:$C$17,MATCH(C634,Lists!$A$2:$A$17,0)),"?"))</f>
        <v/>
      </c>
    </row>
    <row r="635" spans="1:6" x14ac:dyDescent="0.35">
      <c r="A635" s="10"/>
      <c r="B635" s="9"/>
      <c r="C635" s="9"/>
      <c r="D635" s="9"/>
      <c r="E635" s="11"/>
      <c r="F635" s="8" t="str">
        <f>IF(C635="","",IFERROR(INDEX(Lists!$C$2:$C$17,MATCH(C635,Lists!$A$2:$A$17,0)),"?"))</f>
        <v/>
      </c>
    </row>
    <row r="636" spans="1:6" x14ac:dyDescent="0.35">
      <c r="A636" s="10"/>
      <c r="B636" s="9"/>
      <c r="C636" s="9"/>
      <c r="D636" s="9"/>
      <c r="E636" s="11"/>
      <c r="F636" s="8" t="str">
        <f>IF(C636="","",IFERROR(INDEX(Lists!$C$2:$C$17,MATCH(C636,Lists!$A$2:$A$17,0)),"?"))</f>
        <v/>
      </c>
    </row>
    <row r="637" spans="1:6" x14ac:dyDescent="0.35">
      <c r="A637" s="10"/>
      <c r="B637" s="9"/>
      <c r="C637" s="9"/>
      <c r="D637" s="9"/>
      <c r="E637" s="11"/>
      <c r="F637" s="8" t="str">
        <f>IF(C637="","",IFERROR(INDEX(Lists!$C$2:$C$17,MATCH(C637,Lists!$A$2:$A$17,0)),"?"))</f>
        <v/>
      </c>
    </row>
    <row r="638" spans="1:6" x14ac:dyDescent="0.35">
      <c r="A638" s="10"/>
      <c r="B638" s="9"/>
      <c r="C638" s="9"/>
      <c r="D638" s="9"/>
      <c r="E638" s="11"/>
      <c r="F638" s="8" t="str">
        <f>IF(C638="","",IFERROR(INDEX(Lists!$C$2:$C$17,MATCH(C638,Lists!$A$2:$A$17,0)),"?"))</f>
        <v/>
      </c>
    </row>
    <row r="639" spans="1:6" x14ac:dyDescent="0.35">
      <c r="A639" s="10"/>
      <c r="B639" s="9"/>
      <c r="C639" s="9"/>
      <c r="D639" s="9"/>
      <c r="E639" s="11"/>
      <c r="F639" s="8" t="str">
        <f>IF(C639="","",IFERROR(INDEX(Lists!$C$2:$C$17,MATCH(C639,Lists!$A$2:$A$17,0)),"?"))</f>
        <v/>
      </c>
    </row>
    <row r="640" spans="1:6" x14ac:dyDescent="0.35">
      <c r="A640" s="10"/>
      <c r="B640" s="9"/>
      <c r="C640" s="9"/>
      <c r="D640" s="9"/>
      <c r="E640" s="11"/>
      <c r="F640" s="8" t="str">
        <f>IF(C640="","",IFERROR(INDEX(Lists!$C$2:$C$17,MATCH(C640,Lists!$A$2:$A$17,0)),"?"))</f>
        <v/>
      </c>
    </row>
    <row r="641" spans="1:6" x14ac:dyDescent="0.35">
      <c r="A641" s="10"/>
      <c r="B641" s="9"/>
      <c r="C641" s="9"/>
      <c r="D641" s="9"/>
      <c r="E641" s="11"/>
      <c r="F641" s="8" t="str">
        <f>IF(C641="","",IFERROR(INDEX(Lists!$C$2:$C$17,MATCH(C641,Lists!$A$2:$A$17,0)),"?"))</f>
        <v/>
      </c>
    </row>
    <row r="642" spans="1:6" x14ac:dyDescent="0.35">
      <c r="A642" s="10"/>
      <c r="B642" s="9"/>
      <c r="C642" s="9"/>
      <c r="D642" s="9"/>
      <c r="E642" s="11"/>
      <c r="F642" s="8" t="str">
        <f>IF(C642="","",IFERROR(INDEX(Lists!$C$2:$C$17,MATCH(C642,Lists!$A$2:$A$17,0)),"?"))</f>
        <v/>
      </c>
    </row>
    <row r="643" spans="1:6" x14ac:dyDescent="0.35">
      <c r="A643" s="10"/>
      <c r="B643" s="9"/>
      <c r="C643" s="9"/>
      <c r="D643" s="9"/>
      <c r="E643" s="11"/>
      <c r="F643" s="8" t="str">
        <f>IF(C643="","",IFERROR(INDEX(Lists!$C$2:$C$17,MATCH(C643,Lists!$A$2:$A$17,0)),"?"))</f>
        <v/>
      </c>
    </row>
    <row r="644" spans="1:6" x14ac:dyDescent="0.35">
      <c r="A644" s="10"/>
      <c r="B644" s="9"/>
      <c r="C644" s="9"/>
      <c r="D644" s="9"/>
      <c r="E644" s="11"/>
      <c r="F644" s="8" t="str">
        <f>IF(C644="","",IFERROR(INDEX(Lists!$C$2:$C$17,MATCH(C644,Lists!$A$2:$A$17,0)),"?"))</f>
        <v/>
      </c>
    </row>
    <row r="645" spans="1:6" x14ac:dyDescent="0.35">
      <c r="A645" s="10"/>
      <c r="B645" s="9"/>
      <c r="C645" s="9"/>
      <c r="D645" s="9"/>
      <c r="E645" s="11"/>
      <c r="F645" s="8" t="str">
        <f>IF(C645="","",IFERROR(INDEX(Lists!$C$2:$C$17,MATCH(C645,Lists!$A$2:$A$17,0)),"?"))</f>
        <v/>
      </c>
    </row>
    <row r="646" spans="1:6" x14ac:dyDescent="0.35">
      <c r="A646" s="10"/>
      <c r="B646" s="9"/>
      <c r="C646" s="9"/>
      <c r="D646" s="9"/>
      <c r="E646" s="11"/>
      <c r="F646" s="8" t="str">
        <f>IF(C646="","",IFERROR(INDEX(Lists!$C$2:$C$17,MATCH(C646,Lists!$A$2:$A$17,0)),"?"))</f>
        <v/>
      </c>
    </row>
    <row r="647" spans="1:6" x14ac:dyDescent="0.35">
      <c r="A647" s="10"/>
      <c r="B647" s="9"/>
      <c r="C647" s="9"/>
      <c r="D647" s="9"/>
      <c r="E647" s="11"/>
      <c r="F647" s="8" t="str">
        <f>IF(C647="","",IFERROR(INDEX(Lists!$C$2:$C$17,MATCH(C647,Lists!$A$2:$A$17,0)),"?"))</f>
        <v/>
      </c>
    </row>
    <row r="648" spans="1:6" x14ac:dyDescent="0.35">
      <c r="A648" s="10"/>
      <c r="B648" s="9"/>
      <c r="C648" s="9"/>
      <c r="D648" s="9"/>
      <c r="E648" s="11"/>
      <c r="F648" s="8" t="str">
        <f>IF(C648="","",IFERROR(INDEX(Lists!$C$2:$C$17,MATCH(C648,Lists!$A$2:$A$17,0)),"?"))</f>
        <v/>
      </c>
    </row>
    <row r="649" spans="1:6" x14ac:dyDescent="0.35">
      <c r="A649" s="10"/>
      <c r="B649" s="9"/>
      <c r="C649" s="9"/>
      <c r="D649" s="9"/>
      <c r="E649" s="11"/>
      <c r="F649" s="8" t="str">
        <f>IF(C649="","",IFERROR(INDEX(Lists!$C$2:$C$17,MATCH(C649,Lists!$A$2:$A$17,0)),"?"))</f>
        <v/>
      </c>
    </row>
    <row r="650" spans="1:6" x14ac:dyDescent="0.35">
      <c r="A650" s="10"/>
      <c r="B650" s="9"/>
      <c r="C650" s="9"/>
      <c r="D650" s="9"/>
      <c r="E650" s="11"/>
      <c r="F650" s="8" t="str">
        <f>IF(C650="","",IFERROR(INDEX(Lists!$C$2:$C$17,MATCH(C650,Lists!$A$2:$A$17,0)),"?"))</f>
        <v/>
      </c>
    </row>
    <row r="651" spans="1:6" x14ac:dyDescent="0.35">
      <c r="A651" s="10"/>
      <c r="B651" s="9"/>
      <c r="C651" s="9"/>
      <c r="D651" s="9"/>
      <c r="E651" s="11"/>
      <c r="F651" s="8" t="str">
        <f>IF(C651="","",IFERROR(INDEX(Lists!$C$2:$C$17,MATCH(C651,Lists!$A$2:$A$17,0)),"?"))</f>
        <v/>
      </c>
    </row>
    <row r="652" spans="1:6" x14ac:dyDescent="0.35">
      <c r="A652" s="10"/>
      <c r="B652" s="9"/>
      <c r="C652" s="9"/>
      <c r="D652" s="9"/>
      <c r="E652" s="11"/>
      <c r="F652" s="8" t="str">
        <f>IF(C652="","",IFERROR(INDEX(Lists!$C$2:$C$17,MATCH(C652,Lists!$A$2:$A$17,0)),"?"))</f>
        <v/>
      </c>
    </row>
    <row r="653" spans="1:6" x14ac:dyDescent="0.35">
      <c r="A653" s="10"/>
      <c r="B653" s="9"/>
      <c r="C653" s="9"/>
      <c r="D653" s="9"/>
      <c r="E653" s="11"/>
      <c r="F653" s="8" t="str">
        <f>IF(C653="","",IFERROR(INDEX(Lists!$C$2:$C$17,MATCH(C653,Lists!$A$2:$A$17,0)),"?"))</f>
        <v/>
      </c>
    </row>
    <row r="654" spans="1:6" x14ac:dyDescent="0.35">
      <c r="A654" s="10"/>
      <c r="B654" s="9"/>
      <c r="C654" s="9"/>
      <c r="D654" s="9"/>
      <c r="E654" s="11"/>
      <c r="F654" s="8" t="str">
        <f>IF(C654="","",IFERROR(INDEX(Lists!$C$2:$C$17,MATCH(C654,Lists!$A$2:$A$17,0)),"?"))</f>
        <v/>
      </c>
    </row>
    <row r="655" spans="1:6" x14ac:dyDescent="0.35">
      <c r="A655" s="10"/>
      <c r="B655" s="9"/>
      <c r="C655" s="9"/>
      <c r="D655" s="9"/>
      <c r="E655" s="11"/>
      <c r="F655" s="8" t="str">
        <f>IF(C655="","",IFERROR(INDEX(Lists!$C$2:$C$17,MATCH(C655,Lists!$A$2:$A$17,0)),"?"))</f>
        <v/>
      </c>
    </row>
    <row r="656" spans="1:6" x14ac:dyDescent="0.35">
      <c r="A656" s="10"/>
      <c r="B656" s="9"/>
      <c r="C656" s="9"/>
      <c r="D656" s="9"/>
      <c r="E656" s="11"/>
      <c r="F656" s="8" t="str">
        <f>IF(C656="","",IFERROR(INDEX(Lists!$C$2:$C$17,MATCH(C656,Lists!$A$2:$A$17,0)),"?"))</f>
        <v/>
      </c>
    </row>
    <row r="657" spans="1:6" x14ac:dyDescent="0.35">
      <c r="A657" s="10"/>
      <c r="B657" s="9"/>
      <c r="C657" s="9"/>
      <c r="D657" s="9"/>
      <c r="E657" s="11"/>
      <c r="F657" s="8" t="str">
        <f>IF(C657="","",IFERROR(INDEX(Lists!$C$2:$C$17,MATCH(C657,Lists!$A$2:$A$17,0)),"?"))</f>
        <v/>
      </c>
    </row>
    <row r="658" spans="1:6" x14ac:dyDescent="0.35">
      <c r="A658" s="10"/>
      <c r="B658" s="9"/>
      <c r="C658" s="9"/>
      <c r="D658" s="9"/>
      <c r="E658" s="11"/>
      <c r="F658" s="8" t="str">
        <f>IF(C658="","",IFERROR(INDEX(Lists!$C$2:$C$17,MATCH(C658,Lists!$A$2:$A$17,0)),"?"))</f>
        <v/>
      </c>
    </row>
    <row r="659" spans="1:6" x14ac:dyDescent="0.35">
      <c r="A659" s="10"/>
      <c r="B659" s="9"/>
      <c r="C659" s="9"/>
      <c r="D659" s="9"/>
      <c r="E659" s="11"/>
      <c r="F659" s="8" t="str">
        <f>IF(C659="","",IFERROR(INDEX(Lists!$C$2:$C$17,MATCH(C659,Lists!$A$2:$A$17,0)),"?"))</f>
        <v/>
      </c>
    </row>
    <row r="660" spans="1:6" x14ac:dyDescent="0.35">
      <c r="A660" s="10"/>
      <c r="B660" s="9"/>
      <c r="C660" s="9"/>
      <c r="D660" s="9"/>
      <c r="E660" s="11"/>
      <c r="F660" s="8" t="str">
        <f>IF(C660="","",IFERROR(INDEX(Lists!$C$2:$C$17,MATCH(C660,Lists!$A$2:$A$17,0)),"?"))</f>
        <v/>
      </c>
    </row>
    <row r="661" spans="1:6" x14ac:dyDescent="0.35">
      <c r="A661" s="10"/>
      <c r="B661" s="9"/>
      <c r="C661" s="9"/>
      <c r="D661" s="9"/>
      <c r="E661" s="11"/>
      <c r="F661" s="8" t="str">
        <f>IF(C661="","",IFERROR(INDEX(Lists!$C$2:$C$17,MATCH(C661,Lists!$A$2:$A$17,0)),"?"))</f>
        <v/>
      </c>
    </row>
    <row r="662" spans="1:6" x14ac:dyDescent="0.35">
      <c r="A662" s="10"/>
      <c r="B662" s="9"/>
      <c r="C662" s="9"/>
      <c r="D662" s="9"/>
      <c r="E662" s="11"/>
      <c r="F662" s="8" t="str">
        <f>IF(C662="","",IFERROR(INDEX(Lists!$C$2:$C$17,MATCH(C662,Lists!$A$2:$A$17,0)),"?"))</f>
        <v/>
      </c>
    </row>
    <row r="663" spans="1:6" x14ac:dyDescent="0.35">
      <c r="A663" s="10"/>
      <c r="B663" s="9"/>
      <c r="C663" s="9"/>
      <c r="D663" s="9"/>
      <c r="E663" s="11"/>
      <c r="F663" s="8" t="str">
        <f>IF(C663="","",IFERROR(INDEX(Lists!$C$2:$C$17,MATCH(C663,Lists!$A$2:$A$17,0)),"?"))</f>
        <v/>
      </c>
    </row>
    <row r="664" spans="1:6" x14ac:dyDescent="0.35">
      <c r="A664" s="10"/>
      <c r="B664" s="9"/>
      <c r="C664" s="9"/>
      <c r="D664" s="9"/>
      <c r="E664" s="11"/>
      <c r="F664" s="8" t="str">
        <f>IF(C664="","",IFERROR(INDEX(Lists!$C$2:$C$17,MATCH(C664,Lists!$A$2:$A$17,0)),"?"))</f>
        <v/>
      </c>
    </row>
    <row r="665" spans="1:6" x14ac:dyDescent="0.35">
      <c r="A665" s="10"/>
      <c r="B665" s="9"/>
      <c r="C665" s="9"/>
      <c r="D665" s="9"/>
      <c r="E665" s="11"/>
      <c r="F665" s="8" t="str">
        <f>IF(C665="","",IFERROR(INDEX(Lists!$C$2:$C$17,MATCH(C665,Lists!$A$2:$A$17,0)),"?"))</f>
        <v/>
      </c>
    </row>
    <row r="666" spans="1:6" x14ac:dyDescent="0.35">
      <c r="A666" s="10"/>
      <c r="B666" s="9"/>
      <c r="C666" s="9"/>
      <c r="D666" s="9"/>
      <c r="E666" s="11"/>
      <c r="F666" s="8" t="str">
        <f>IF(C666="","",IFERROR(INDEX(Lists!$C$2:$C$17,MATCH(C666,Lists!$A$2:$A$17,0)),"?"))</f>
        <v/>
      </c>
    </row>
    <row r="667" spans="1:6" x14ac:dyDescent="0.35">
      <c r="A667" s="10"/>
      <c r="B667" s="9"/>
      <c r="C667" s="9"/>
      <c r="D667" s="9"/>
      <c r="E667" s="11"/>
      <c r="F667" s="8" t="str">
        <f>IF(C667="","",IFERROR(INDEX(Lists!$C$2:$C$17,MATCH(C667,Lists!$A$2:$A$17,0)),"?"))</f>
        <v/>
      </c>
    </row>
    <row r="668" spans="1:6" x14ac:dyDescent="0.35">
      <c r="A668" s="10"/>
      <c r="B668" s="9"/>
      <c r="C668" s="9"/>
      <c r="D668" s="9"/>
      <c r="E668" s="11"/>
      <c r="F668" s="8" t="str">
        <f>IF(C668="","",IFERROR(INDEX(Lists!$C$2:$C$17,MATCH(C668,Lists!$A$2:$A$17,0)),"?"))</f>
        <v/>
      </c>
    </row>
    <row r="669" spans="1:6" x14ac:dyDescent="0.35">
      <c r="A669" s="10"/>
      <c r="B669" s="9"/>
      <c r="C669" s="9"/>
      <c r="D669" s="9"/>
      <c r="E669" s="11"/>
      <c r="F669" s="8" t="str">
        <f>IF(C669="","",IFERROR(INDEX(Lists!$C$2:$C$17,MATCH(C669,Lists!$A$2:$A$17,0)),"?"))</f>
        <v/>
      </c>
    </row>
    <row r="670" spans="1:6" x14ac:dyDescent="0.35">
      <c r="A670" s="10"/>
      <c r="B670" s="9"/>
      <c r="C670" s="9"/>
      <c r="D670" s="9"/>
      <c r="E670" s="11"/>
      <c r="F670" s="8" t="str">
        <f>IF(C670="","",IFERROR(INDEX(Lists!$C$2:$C$17,MATCH(C670,Lists!$A$2:$A$17,0)),"?"))</f>
        <v/>
      </c>
    </row>
    <row r="671" spans="1:6" x14ac:dyDescent="0.35">
      <c r="A671" s="10"/>
      <c r="B671" s="9"/>
      <c r="C671" s="9"/>
      <c r="D671" s="9"/>
      <c r="E671" s="11"/>
      <c r="F671" s="8" t="str">
        <f>IF(C671="","",IFERROR(INDEX(Lists!$C$2:$C$17,MATCH(C671,Lists!$A$2:$A$17,0)),"?"))</f>
        <v/>
      </c>
    </row>
    <row r="672" spans="1:6" x14ac:dyDescent="0.35">
      <c r="A672" s="10"/>
      <c r="B672" s="9"/>
      <c r="C672" s="9"/>
      <c r="D672" s="9"/>
      <c r="E672" s="11"/>
      <c r="F672" s="8" t="str">
        <f>IF(C672="","",IFERROR(INDEX(Lists!$C$2:$C$17,MATCH(C672,Lists!$A$2:$A$17,0)),"?"))</f>
        <v/>
      </c>
    </row>
    <row r="673" spans="1:6" x14ac:dyDescent="0.35">
      <c r="A673" s="10"/>
      <c r="B673" s="9"/>
      <c r="C673" s="9"/>
      <c r="D673" s="9"/>
      <c r="E673" s="11"/>
      <c r="F673" s="8" t="str">
        <f>IF(C673="","",IFERROR(INDEX(Lists!$C$2:$C$17,MATCH(C673,Lists!$A$2:$A$17,0)),"?"))</f>
        <v/>
      </c>
    </row>
    <row r="674" spans="1:6" x14ac:dyDescent="0.35">
      <c r="A674" s="10"/>
      <c r="B674" s="9"/>
      <c r="C674" s="9"/>
      <c r="D674" s="9"/>
      <c r="E674" s="11"/>
      <c r="F674" s="8" t="str">
        <f>IF(C674="","",IFERROR(INDEX(Lists!$C$2:$C$17,MATCH(C674,Lists!$A$2:$A$17,0)),"?"))</f>
        <v/>
      </c>
    </row>
    <row r="675" spans="1:6" x14ac:dyDescent="0.35">
      <c r="A675" s="10"/>
      <c r="B675" s="9"/>
      <c r="C675" s="9"/>
      <c r="D675" s="9"/>
      <c r="E675" s="11"/>
      <c r="F675" s="8" t="str">
        <f>IF(C675="","",IFERROR(INDEX(Lists!$C$2:$C$17,MATCH(C675,Lists!$A$2:$A$17,0)),"?"))</f>
        <v/>
      </c>
    </row>
    <row r="676" spans="1:6" x14ac:dyDescent="0.35">
      <c r="A676" s="10"/>
      <c r="B676" s="9"/>
      <c r="C676" s="9"/>
      <c r="D676" s="9"/>
      <c r="E676" s="11"/>
      <c r="F676" s="8" t="str">
        <f>IF(C676="","",IFERROR(INDEX(Lists!$C$2:$C$17,MATCH(C676,Lists!$A$2:$A$17,0)),"?"))</f>
        <v/>
      </c>
    </row>
    <row r="677" spans="1:6" x14ac:dyDescent="0.35">
      <c r="A677" s="10"/>
      <c r="B677" s="9"/>
      <c r="C677" s="9"/>
      <c r="D677" s="9"/>
      <c r="E677" s="11"/>
      <c r="F677" s="8" t="str">
        <f>IF(C677="","",IFERROR(INDEX(Lists!$C$2:$C$17,MATCH(C677,Lists!$A$2:$A$17,0)),"?"))</f>
        <v/>
      </c>
    </row>
    <row r="678" spans="1:6" x14ac:dyDescent="0.35">
      <c r="A678" s="10"/>
      <c r="B678" s="9"/>
      <c r="C678" s="9"/>
      <c r="D678" s="9"/>
      <c r="E678" s="11"/>
      <c r="F678" s="8" t="str">
        <f>IF(C678="","",IFERROR(INDEX(Lists!$C$2:$C$17,MATCH(C678,Lists!$A$2:$A$17,0)),"?"))</f>
        <v/>
      </c>
    </row>
    <row r="679" spans="1:6" x14ac:dyDescent="0.35">
      <c r="A679" s="10"/>
      <c r="B679" s="9"/>
      <c r="C679" s="9"/>
      <c r="D679" s="9"/>
      <c r="E679" s="11"/>
      <c r="F679" s="8" t="str">
        <f>IF(C679="","",IFERROR(INDEX(Lists!$C$2:$C$17,MATCH(C679,Lists!$A$2:$A$17,0)),"?"))</f>
        <v/>
      </c>
    </row>
    <row r="680" spans="1:6" x14ac:dyDescent="0.35">
      <c r="A680" s="10"/>
      <c r="B680" s="9"/>
      <c r="C680" s="9"/>
      <c r="D680" s="9"/>
      <c r="E680" s="11"/>
      <c r="F680" s="8" t="str">
        <f>IF(C680="","",IFERROR(INDEX(Lists!$C$2:$C$17,MATCH(C680,Lists!$A$2:$A$17,0)),"?"))</f>
        <v/>
      </c>
    </row>
    <row r="681" spans="1:6" x14ac:dyDescent="0.35">
      <c r="A681" s="10"/>
      <c r="B681" s="9"/>
      <c r="C681" s="9"/>
      <c r="D681" s="9"/>
      <c r="E681" s="11"/>
      <c r="F681" s="8" t="str">
        <f>IF(C681="","",IFERROR(INDEX(Lists!$C$2:$C$17,MATCH(C681,Lists!$A$2:$A$17,0)),"?"))</f>
        <v/>
      </c>
    </row>
    <row r="682" spans="1:6" x14ac:dyDescent="0.35">
      <c r="A682" s="10"/>
      <c r="B682" s="9"/>
      <c r="C682" s="9"/>
      <c r="D682" s="9"/>
      <c r="E682" s="11"/>
      <c r="F682" s="8" t="str">
        <f>IF(C682="","",IFERROR(INDEX(Lists!$C$2:$C$17,MATCH(C682,Lists!$A$2:$A$17,0)),"?"))</f>
        <v/>
      </c>
    </row>
    <row r="683" spans="1:6" x14ac:dyDescent="0.35">
      <c r="A683" s="10"/>
      <c r="B683" s="9"/>
      <c r="C683" s="9"/>
      <c r="D683" s="9"/>
      <c r="E683" s="11"/>
      <c r="F683" s="8" t="str">
        <f>IF(C683="","",IFERROR(INDEX(Lists!$C$2:$C$17,MATCH(C683,Lists!$A$2:$A$17,0)),"?"))</f>
        <v/>
      </c>
    </row>
    <row r="684" spans="1:6" x14ac:dyDescent="0.35">
      <c r="A684" s="10"/>
      <c r="B684" s="9"/>
      <c r="C684" s="9"/>
      <c r="D684" s="9"/>
      <c r="E684" s="11"/>
      <c r="F684" s="8" t="str">
        <f>IF(C684="","",IFERROR(INDEX(Lists!$C$2:$C$17,MATCH(C684,Lists!$A$2:$A$17,0)),"?"))</f>
        <v/>
      </c>
    </row>
    <row r="685" spans="1:6" x14ac:dyDescent="0.35">
      <c r="A685" s="10"/>
      <c r="B685" s="9"/>
      <c r="C685" s="9"/>
      <c r="D685" s="9"/>
      <c r="E685" s="11"/>
      <c r="F685" s="8" t="str">
        <f>IF(C685="","",IFERROR(INDEX(Lists!$C$2:$C$17,MATCH(C685,Lists!$A$2:$A$17,0)),"?"))</f>
        <v/>
      </c>
    </row>
    <row r="686" spans="1:6" x14ac:dyDescent="0.35">
      <c r="A686" s="10"/>
      <c r="B686" s="9"/>
      <c r="C686" s="9"/>
      <c r="D686" s="9"/>
      <c r="E686" s="11"/>
      <c r="F686" s="8" t="str">
        <f>IF(C686="","",IFERROR(INDEX(Lists!$C$2:$C$17,MATCH(C686,Lists!$A$2:$A$17,0)),"?"))</f>
        <v/>
      </c>
    </row>
    <row r="687" spans="1:6" x14ac:dyDescent="0.35">
      <c r="A687" s="10"/>
      <c r="B687" s="9"/>
      <c r="C687" s="9"/>
      <c r="D687" s="9"/>
      <c r="E687" s="11"/>
      <c r="F687" s="8" t="str">
        <f>IF(C687="","",IFERROR(INDEX(Lists!$C$2:$C$17,MATCH(C687,Lists!$A$2:$A$17,0)),"?"))</f>
        <v/>
      </c>
    </row>
    <row r="688" spans="1:6" x14ac:dyDescent="0.35">
      <c r="A688" s="10"/>
      <c r="B688" s="9"/>
      <c r="C688" s="9"/>
      <c r="D688" s="9"/>
      <c r="E688" s="11"/>
      <c r="F688" s="8" t="str">
        <f>IF(C688="","",IFERROR(INDEX(Lists!$C$2:$C$17,MATCH(C688,Lists!$A$2:$A$17,0)),"?"))</f>
        <v/>
      </c>
    </row>
    <row r="689" spans="1:6" x14ac:dyDescent="0.35">
      <c r="A689" s="10"/>
      <c r="B689" s="9"/>
      <c r="C689" s="9"/>
      <c r="D689" s="9"/>
      <c r="E689" s="11"/>
      <c r="F689" s="8" t="str">
        <f>IF(C689="","",IFERROR(INDEX(Lists!$C$2:$C$17,MATCH(C689,Lists!$A$2:$A$17,0)),"?"))</f>
        <v/>
      </c>
    </row>
    <row r="690" spans="1:6" x14ac:dyDescent="0.35">
      <c r="A690" s="10"/>
      <c r="B690" s="9"/>
      <c r="C690" s="9"/>
      <c r="D690" s="9"/>
      <c r="E690" s="11"/>
      <c r="F690" s="8" t="str">
        <f>IF(C690="","",IFERROR(INDEX(Lists!$C$2:$C$17,MATCH(C690,Lists!$A$2:$A$17,0)),"?"))</f>
        <v/>
      </c>
    </row>
    <row r="691" spans="1:6" x14ac:dyDescent="0.35">
      <c r="A691" s="10"/>
      <c r="B691" s="9"/>
      <c r="C691" s="9"/>
      <c r="D691" s="9"/>
      <c r="E691" s="11"/>
      <c r="F691" s="8" t="str">
        <f>IF(C691="","",IFERROR(INDEX(Lists!$C$2:$C$17,MATCH(C691,Lists!$A$2:$A$17,0)),"?"))</f>
        <v/>
      </c>
    </row>
    <row r="692" spans="1:6" x14ac:dyDescent="0.35">
      <c r="A692" s="10"/>
      <c r="B692" s="9"/>
      <c r="C692" s="9"/>
      <c r="D692" s="9"/>
      <c r="E692" s="11"/>
      <c r="F692" s="8" t="str">
        <f>IF(C692="","",IFERROR(INDEX(Lists!$C$2:$C$17,MATCH(C692,Lists!$A$2:$A$17,0)),"?"))</f>
        <v/>
      </c>
    </row>
    <row r="693" spans="1:6" x14ac:dyDescent="0.35">
      <c r="A693" s="10"/>
      <c r="B693" s="9"/>
      <c r="C693" s="9"/>
      <c r="D693" s="9"/>
      <c r="E693" s="11"/>
      <c r="F693" s="8" t="str">
        <f>IF(C693="","",IFERROR(INDEX(Lists!$C$2:$C$17,MATCH(C693,Lists!$A$2:$A$17,0)),"?"))</f>
        <v/>
      </c>
    </row>
    <row r="694" spans="1:6" x14ac:dyDescent="0.35">
      <c r="A694" s="10"/>
      <c r="B694" s="9"/>
      <c r="C694" s="9"/>
      <c r="D694" s="9"/>
      <c r="E694" s="11"/>
      <c r="F694" s="8" t="str">
        <f>IF(C694="","",IFERROR(INDEX(Lists!$C$2:$C$17,MATCH(C694,Lists!$A$2:$A$17,0)),"?"))</f>
        <v/>
      </c>
    </row>
    <row r="695" spans="1:6" x14ac:dyDescent="0.35">
      <c r="A695" s="10"/>
      <c r="B695" s="9"/>
      <c r="C695" s="9"/>
      <c r="D695" s="9"/>
      <c r="E695" s="11"/>
      <c r="F695" s="8" t="str">
        <f>IF(C695="","",IFERROR(INDEX(Lists!$C$2:$C$17,MATCH(C695,Lists!$A$2:$A$17,0)),"?"))</f>
        <v/>
      </c>
    </row>
    <row r="696" spans="1:6" x14ac:dyDescent="0.35">
      <c r="A696" s="10"/>
      <c r="B696" s="9"/>
      <c r="C696" s="9"/>
      <c r="D696" s="9"/>
      <c r="E696" s="11"/>
      <c r="F696" s="8" t="str">
        <f>IF(C696="","",IFERROR(INDEX(Lists!$C$2:$C$17,MATCH(C696,Lists!$A$2:$A$17,0)),"?"))</f>
        <v/>
      </c>
    </row>
    <row r="697" spans="1:6" x14ac:dyDescent="0.35">
      <c r="A697" s="10"/>
      <c r="B697" s="9"/>
      <c r="C697" s="9"/>
      <c r="D697" s="9"/>
      <c r="E697" s="11"/>
      <c r="F697" s="8" t="str">
        <f>IF(C697="","",IFERROR(INDEX(Lists!$C$2:$C$17,MATCH(C697,Lists!$A$2:$A$17,0)),"?"))</f>
        <v/>
      </c>
    </row>
    <row r="698" spans="1:6" x14ac:dyDescent="0.35">
      <c r="A698" s="10"/>
      <c r="B698" s="9"/>
      <c r="C698" s="9"/>
      <c r="D698" s="9"/>
      <c r="E698" s="11"/>
      <c r="F698" s="8" t="str">
        <f>IF(C698="","",IFERROR(INDEX(Lists!$C$2:$C$17,MATCH(C698,Lists!$A$2:$A$17,0)),"?"))</f>
        <v/>
      </c>
    </row>
    <row r="699" spans="1:6" x14ac:dyDescent="0.35">
      <c r="A699" s="10"/>
      <c r="B699" s="9"/>
      <c r="C699" s="9"/>
      <c r="D699" s="9"/>
      <c r="E699" s="11"/>
      <c r="F699" s="8" t="str">
        <f>IF(C699="","",IFERROR(INDEX(Lists!$C$2:$C$17,MATCH(C699,Lists!$A$2:$A$17,0)),"?"))</f>
        <v/>
      </c>
    </row>
    <row r="700" spans="1:6" x14ac:dyDescent="0.35">
      <c r="A700" s="10"/>
      <c r="B700" s="9"/>
      <c r="C700" s="9"/>
      <c r="D700" s="9"/>
      <c r="E700" s="11"/>
      <c r="F700" s="8" t="str">
        <f>IF(C700="","",IFERROR(INDEX(Lists!$C$2:$C$17,MATCH(C700,Lists!$A$2:$A$17,0)),"?"))</f>
        <v/>
      </c>
    </row>
    <row r="701" spans="1:6" x14ac:dyDescent="0.35">
      <c r="A701" s="10"/>
      <c r="B701" s="9"/>
      <c r="C701" s="9"/>
      <c r="D701" s="9"/>
      <c r="E701" s="11"/>
      <c r="F701" s="8" t="str">
        <f>IF(C701="","",IFERROR(INDEX(Lists!$C$2:$C$17,MATCH(C701,Lists!$A$2:$A$17,0)),"?"))</f>
        <v/>
      </c>
    </row>
    <row r="702" spans="1:6" x14ac:dyDescent="0.35">
      <c r="A702" s="10"/>
      <c r="B702" s="9"/>
      <c r="C702" s="9"/>
      <c r="D702" s="9"/>
      <c r="E702" s="11"/>
      <c r="F702" s="8" t="str">
        <f>IF(C702="","",IFERROR(INDEX(Lists!$C$2:$C$17,MATCH(C702,Lists!$A$2:$A$17,0)),"?"))</f>
        <v/>
      </c>
    </row>
    <row r="703" spans="1:6" x14ac:dyDescent="0.35">
      <c r="A703" s="10"/>
      <c r="B703" s="9"/>
      <c r="C703" s="9"/>
      <c r="D703" s="9"/>
      <c r="E703" s="11"/>
      <c r="F703" s="8" t="str">
        <f>IF(C703="","",IFERROR(INDEX(Lists!$C$2:$C$17,MATCH(C703,Lists!$A$2:$A$17,0)),"?"))</f>
        <v/>
      </c>
    </row>
    <row r="704" spans="1:6" x14ac:dyDescent="0.35">
      <c r="A704" s="10"/>
      <c r="B704" s="9"/>
      <c r="C704" s="9"/>
      <c r="D704" s="9"/>
      <c r="E704" s="11"/>
      <c r="F704" s="8" t="str">
        <f>IF(C704="","",IFERROR(INDEX(Lists!$C$2:$C$17,MATCH(C704,Lists!$A$2:$A$17,0)),"?"))</f>
        <v/>
      </c>
    </row>
    <row r="705" spans="1:6" x14ac:dyDescent="0.35">
      <c r="A705" s="10"/>
      <c r="B705" s="9"/>
      <c r="C705" s="9"/>
      <c r="D705" s="9"/>
      <c r="E705" s="11"/>
      <c r="F705" s="8" t="str">
        <f>IF(C705="","",IFERROR(INDEX(Lists!$C$2:$C$17,MATCH(C705,Lists!$A$2:$A$17,0)),"?"))</f>
        <v/>
      </c>
    </row>
    <row r="706" spans="1:6" x14ac:dyDescent="0.35">
      <c r="A706" s="10"/>
      <c r="B706" s="9"/>
      <c r="C706" s="9"/>
      <c r="D706" s="9"/>
      <c r="E706" s="11"/>
      <c r="F706" s="8" t="str">
        <f>IF(C706="","",IFERROR(INDEX(Lists!$C$2:$C$17,MATCH(C706,Lists!$A$2:$A$17,0)),"?"))</f>
        <v/>
      </c>
    </row>
    <row r="707" spans="1:6" x14ac:dyDescent="0.35">
      <c r="A707" s="10"/>
      <c r="B707" s="9"/>
      <c r="C707" s="9"/>
      <c r="D707" s="9"/>
      <c r="E707" s="11"/>
      <c r="F707" s="8" t="str">
        <f>IF(C707="","",IFERROR(INDEX(Lists!$C$2:$C$17,MATCH(C707,Lists!$A$2:$A$17,0)),"?"))</f>
        <v/>
      </c>
    </row>
    <row r="708" spans="1:6" x14ac:dyDescent="0.35">
      <c r="A708" s="10"/>
      <c r="B708" s="9"/>
      <c r="C708" s="9"/>
      <c r="D708" s="9"/>
      <c r="E708" s="11"/>
      <c r="F708" s="8" t="str">
        <f>IF(C708="","",IFERROR(INDEX(Lists!$C$2:$C$17,MATCH(C708,Lists!$A$2:$A$17,0)),"?"))</f>
        <v/>
      </c>
    </row>
    <row r="709" spans="1:6" x14ac:dyDescent="0.35">
      <c r="A709" s="10"/>
      <c r="B709" s="9"/>
      <c r="C709" s="9"/>
      <c r="D709" s="9"/>
      <c r="E709" s="11"/>
      <c r="F709" s="8" t="str">
        <f>IF(C709="","",IFERROR(INDEX(Lists!$C$2:$C$17,MATCH(C709,Lists!$A$2:$A$17,0)),"?"))</f>
        <v/>
      </c>
    </row>
    <row r="710" spans="1:6" x14ac:dyDescent="0.35">
      <c r="A710" s="10"/>
      <c r="B710" s="9"/>
      <c r="C710" s="9"/>
      <c r="D710" s="9"/>
      <c r="E710" s="11"/>
      <c r="F710" s="8" t="str">
        <f>IF(C710="","",IFERROR(INDEX(Lists!$C$2:$C$17,MATCH(C710,Lists!$A$2:$A$17,0)),"?"))</f>
        <v/>
      </c>
    </row>
    <row r="711" spans="1:6" x14ac:dyDescent="0.35">
      <c r="A711" s="10"/>
      <c r="B711" s="9"/>
      <c r="C711" s="9"/>
      <c r="D711" s="9"/>
      <c r="E711" s="11"/>
      <c r="F711" s="8" t="str">
        <f>IF(C711="","",IFERROR(INDEX(Lists!$C$2:$C$17,MATCH(C711,Lists!$A$2:$A$17,0)),"?"))</f>
        <v/>
      </c>
    </row>
    <row r="712" spans="1:6" x14ac:dyDescent="0.35">
      <c r="A712" s="10"/>
      <c r="B712" s="9"/>
      <c r="C712" s="9"/>
      <c r="D712" s="9"/>
      <c r="E712" s="11"/>
      <c r="F712" s="8" t="str">
        <f>IF(C712="","",IFERROR(INDEX(Lists!$C$2:$C$17,MATCH(C712,Lists!$A$2:$A$17,0)),"?"))</f>
        <v/>
      </c>
    </row>
    <row r="713" spans="1:6" x14ac:dyDescent="0.35">
      <c r="A713" s="10"/>
      <c r="B713" s="9"/>
      <c r="C713" s="9"/>
      <c r="D713" s="9"/>
      <c r="E713" s="11"/>
      <c r="F713" s="8" t="str">
        <f>IF(C713="","",IFERROR(INDEX(Lists!$C$2:$C$17,MATCH(C713,Lists!$A$2:$A$17,0)),"?"))</f>
        <v/>
      </c>
    </row>
    <row r="714" spans="1:6" x14ac:dyDescent="0.35">
      <c r="A714" s="10"/>
      <c r="B714" s="9"/>
      <c r="C714" s="9"/>
      <c r="D714" s="9"/>
      <c r="E714" s="11"/>
      <c r="F714" s="8" t="str">
        <f>IF(C714="","",IFERROR(INDEX(Lists!$C$2:$C$17,MATCH(C714,Lists!$A$2:$A$17,0)),"?"))</f>
        <v/>
      </c>
    </row>
    <row r="715" spans="1:6" x14ac:dyDescent="0.35">
      <c r="A715" s="10"/>
      <c r="B715" s="9"/>
      <c r="C715" s="9"/>
      <c r="D715" s="9"/>
      <c r="E715" s="11"/>
      <c r="F715" s="8" t="str">
        <f>IF(C715="","",IFERROR(INDEX(Lists!$C$2:$C$17,MATCH(C715,Lists!$A$2:$A$17,0)),"?"))</f>
        <v/>
      </c>
    </row>
    <row r="716" spans="1:6" x14ac:dyDescent="0.35">
      <c r="A716" s="10"/>
      <c r="B716" s="9"/>
      <c r="C716" s="9"/>
      <c r="D716" s="9"/>
      <c r="E716" s="11"/>
      <c r="F716" s="8" t="str">
        <f>IF(C716="","",IFERROR(INDEX(Lists!$C$2:$C$17,MATCH(C716,Lists!$A$2:$A$17,0)),"?"))</f>
        <v/>
      </c>
    </row>
    <row r="717" spans="1:6" x14ac:dyDescent="0.35">
      <c r="A717" s="10"/>
      <c r="B717" s="9"/>
      <c r="C717" s="9"/>
      <c r="D717" s="9"/>
      <c r="E717" s="11"/>
      <c r="F717" s="8" t="str">
        <f>IF(C717="","",IFERROR(INDEX(Lists!$C$2:$C$17,MATCH(C717,Lists!$A$2:$A$17,0)),"?"))</f>
        <v/>
      </c>
    </row>
    <row r="718" spans="1:6" x14ac:dyDescent="0.35">
      <c r="A718" s="10"/>
      <c r="B718" s="9"/>
      <c r="C718" s="9"/>
      <c r="D718" s="9"/>
      <c r="E718" s="11"/>
      <c r="F718" s="8" t="str">
        <f>IF(C718="","",IFERROR(INDEX(Lists!$C$2:$C$17,MATCH(C718,Lists!$A$2:$A$17,0)),"?"))</f>
        <v/>
      </c>
    </row>
    <row r="719" spans="1:6" x14ac:dyDescent="0.35">
      <c r="A719" s="10"/>
      <c r="B719" s="9"/>
      <c r="C719" s="9"/>
      <c r="D719" s="9"/>
      <c r="E719" s="11"/>
      <c r="F719" s="8" t="str">
        <f>IF(C719="","",IFERROR(INDEX(Lists!$C$2:$C$17,MATCH(C719,Lists!$A$2:$A$17,0)),"?"))</f>
        <v/>
      </c>
    </row>
    <row r="720" spans="1:6" x14ac:dyDescent="0.35">
      <c r="A720" s="10"/>
      <c r="B720" s="9"/>
      <c r="C720" s="9"/>
      <c r="D720" s="9"/>
      <c r="E720" s="11"/>
      <c r="F720" s="8" t="str">
        <f>IF(C720="","",IFERROR(INDEX(Lists!$C$2:$C$17,MATCH(C720,Lists!$A$2:$A$17,0)),"?"))</f>
        <v/>
      </c>
    </row>
    <row r="721" spans="1:6" x14ac:dyDescent="0.35">
      <c r="A721" s="10"/>
      <c r="B721" s="9"/>
      <c r="C721" s="9"/>
      <c r="D721" s="9"/>
      <c r="E721" s="11"/>
      <c r="F721" s="8" t="str">
        <f>IF(C721="","",IFERROR(INDEX(Lists!$C$2:$C$17,MATCH(C721,Lists!$A$2:$A$17,0)),"?"))</f>
        <v/>
      </c>
    </row>
    <row r="722" spans="1:6" x14ac:dyDescent="0.35">
      <c r="A722" s="10"/>
      <c r="B722" s="9"/>
      <c r="C722" s="9"/>
      <c r="D722" s="9"/>
      <c r="E722" s="11"/>
      <c r="F722" s="8" t="str">
        <f>IF(C722="","",IFERROR(INDEX(Lists!$C$2:$C$17,MATCH(C722,Lists!$A$2:$A$17,0)),"?"))</f>
        <v/>
      </c>
    </row>
    <row r="723" spans="1:6" x14ac:dyDescent="0.35">
      <c r="A723" s="10"/>
      <c r="B723" s="9"/>
      <c r="C723" s="9"/>
      <c r="D723" s="9"/>
      <c r="E723" s="11"/>
      <c r="F723" s="8" t="str">
        <f>IF(C723="","",IFERROR(INDEX(Lists!$C$2:$C$17,MATCH(C723,Lists!$A$2:$A$17,0)),"?"))</f>
        <v/>
      </c>
    </row>
    <row r="724" spans="1:6" x14ac:dyDescent="0.35">
      <c r="A724" s="10"/>
      <c r="B724" s="9"/>
      <c r="C724" s="9"/>
      <c r="D724" s="9"/>
      <c r="E724" s="11"/>
      <c r="F724" s="8" t="str">
        <f>IF(C724="","",IFERROR(INDEX(Lists!$C$2:$C$17,MATCH(C724,Lists!$A$2:$A$17,0)),"?"))</f>
        <v/>
      </c>
    </row>
    <row r="725" spans="1:6" x14ac:dyDescent="0.35">
      <c r="A725" s="10"/>
      <c r="B725" s="9"/>
      <c r="C725" s="9"/>
      <c r="D725" s="9"/>
      <c r="E725" s="11"/>
      <c r="F725" s="8" t="str">
        <f>IF(C725="","",IFERROR(INDEX(Lists!$C$2:$C$17,MATCH(C725,Lists!$A$2:$A$17,0)),"?"))</f>
        <v/>
      </c>
    </row>
    <row r="726" spans="1:6" x14ac:dyDescent="0.35">
      <c r="A726" s="10"/>
      <c r="B726" s="9"/>
      <c r="C726" s="9"/>
      <c r="D726" s="9"/>
      <c r="E726" s="11"/>
      <c r="F726" s="8" t="str">
        <f>IF(C726="","",IFERROR(INDEX(Lists!$C$2:$C$17,MATCH(C726,Lists!$A$2:$A$17,0)),"?"))</f>
        <v/>
      </c>
    </row>
    <row r="727" spans="1:6" x14ac:dyDescent="0.35">
      <c r="A727" s="10"/>
      <c r="B727" s="9"/>
      <c r="C727" s="9"/>
      <c r="D727" s="9"/>
      <c r="E727" s="11"/>
      <c r="F727" s="8" t="str">
        <f>IF(C727="","",IFERROR(INDEX(Lists!$C$2:$C$17,MATCH(C727,Lists!$A$2:$A$17,0)),"?"))</f>
        <v/>
      </c>
    </row>
    <row r="728" spans="1:6" x14ac:dyDescent="0.35">
      <c r="A728" s="10"/>
      <c r="B728" s="9"/>
      <c r="C728" s="9"/>
      <c r="D728" s="9"/>
      <c r="E728" s="11"/>
      <c r="F728" s="8" t="str">
        <f>IF(C728="","",IFERROR(INDEX(Lists!$C$2:$C$17,MATCH(C728,Lists!$A$2:$A$17,0)),"?"))</f>
        <v/>
      </c>
    </row>
    <row r="729" spans="1:6" x14ac:dyDescent="0.35">
      <c r="A729" s="10"/>
      <c r="B729" s="9"/>
      <c r="C729" s="9"/>
      <c r="D729" s="9"/>
      <c r="E729" s="11"/>
      <c r="F729" s="8" t="str">
        <f>IF(C729="","",IFERROR(INDEX(Lists!$C$2:$C$17,MATCH(C729,Lists!$A$2:$A$17,0)),"?"))</f>
        <v/>
      </c>
    </row>
    <row r="730" spans="1:6" x14ac:dyDescent="0.35">
      <c r="A730" s="10"/>
      <c r="B730" s="9"/>
      <c r="C730" s="9"/>
      <c r="D730" s="9"/>
      <c r="E730" s="11"/>
      <c r="F730" s="8" t="str">
        <f>IF(C730="","",IFERROR(INDEX(Lists!$C$2:$C$17,MATCH(C730,Lists!$A$2:$A$17,0)),"?"))</f>
        <v/>
      </c>
    </row>
    <row r="731" spans="1:6" x14ac:dyDescent="0.35">
      <c r="A731" s="10"/>
      <c r="B731" s="9"/>
      <c r="C731" s="9"/>
      <c r="D731" s="9"/>
      <c r="E731" s="11"/>
      <c r="F731" s="8" t="str">
        <f>IF(C731="","",IFERROR(INDEX(Lists!$C$2:$C$17,MATCH(C731,Lists!$A$2:$A$17,0)),"?"))</f>
        <v/>
      </c>
    </row>
    <row r="732" spans="1:6" x14ac:dyDescent="0.35">
      <c r="A732" s="10"/>
      <c r="B732" s="9"/>
      <c r="C732" s="9"/>
      <c r="D732" s="9"/>
      <c r="E732" s="11"/>
      <c r="F732" s="8" t="str">
        <f>IF(C732="","",IFERROR(INDEX(Lists!$C$2:$C$17,MATCH(C732,Lists!$A$2:$A$17,0)),"?"))</f>
        <v/>
      </c>
    </row>
    <row r="733" spans="1:6" x14ac:dyDescent="0.35">
      <c r="A733" s="10"/>
      <c r="B733" s="9"/>
      <c r="C733" s="9"/>
      <c r="D733" s="9"/>
      <c r="E733" s="11"/>
      <c r="F733" s="8" t="str">
        <f>IF(C733="","",IFERROR(INDEX(Lists!$C$2:$C$17,MATCH(C733,Lists!$A$2:$A$17,0)),"?"))</f>
        <v/>
      </c>
    </row>
    <row r="734" spans="1:6" x14ac:dyDescent="0.35">
      <c r="A734" s="10"/>
      <c r="B734" s="9"/>
      <c r="C734" s="9"/>
      <c r="D734" s="9"/>
      <c r="E734" s="11"/>
      <c r="F734" s="8" t="str">
        <f>IF(C734="","",IFERROR(INDEX(Lists!$C$2:$C$17,MATCH(C734,Lists!$A$2:$A$17,0)),"?"))</f>
        <v/>
      </c>
    </row>
    <row r="735" spans="1:6" x14ac:dyDescent="0.35">
      <c r="A735" s="10"/>
      <c r="B735" s="9"/>
      <c r="C735" s="9"/>
      <c r="D735" s="9"/>
      <c r="E735" s="11"/>
      <c r="F735" s="8" t="str">
        <f>IF(C735="","",IFERROR(INDEX(Lists!$C$2:$C$17,MATCH(C735,Lists!$A$2:$A$17,0)),"?"))</f>
        <v/>
      </c>
    </row>
    <row r="736" spans="1:6" x14ac:dyDescent="0.35">
      <c r="A736" s="10"/>
      <c r="B736" s="9"/>
      <c r="C736" s="9"/>
      <c r="D736" s="9"/>
      <c r="E736" s="11"/>
      <c r="F736" s="8" t="str">
        <f>IF(C736="","",IFERROR(INDEX(Lists!$C$2:$C$17,MATCH(C736,Lists!$A$2:$A$17,0)),"?"))</f>
        <v/>
      </c>
    </row>
    <row r="737" spans="1:6" x14ac:dyDescent="0.35">
      <c r="A737" s="10"/>
      <c r="B737" s="9"/>
      <c r="C737" s="9"/>
      <c r="D737" s="9"/>
      <c r="E737" s="11"/>
      <c r="F737" s="8" t="str">
        <f>IF(C737="","",IFERROR(INDEX(Lists!$C$2:$C$17,MATCH(C737,Lists!$A$2:$A$17,0)),"?"))</f>
        <v/>
      </c>
    </row>
    <row r="738" spans="1:6" x14ac:dyDescent="0.35">
      <c r="A738" s="10"/>
      <c r="B738" s="9"/>
      <c r="C738" s="9"/>
      <c r="D738" s="9"/>
      <c r="E738" s="11"/>
      <c r="F738" s="8" t="str">
        <f>IF(C738="","",IFERROR(INDEX(Lists!$C$2:$C$17,MATCH(C738,Lists!$A$2:$A$17,0)),"?"))</f>
        <v/>
      </c>
    </row>
    <row r="739" spans="1:6" x14ac:dyDescent="0.35">
      <c r="A739" s="10"/>
      <c r="B739" s="9"/>
      <c r="C739" s="9"/>
      <c r="D739" s="9"/>
      <c r="E739" s="11"/>
      <c r="F739" s="8" t="str">
        <f>IF(C739="","",IFERROR(INDEX(Lists!$C$2:$C$17,MATCH(C739,Lists!$A$2:$A$17,0)),"?"))</f>
        <v/>
      </c>
    </row>
    <row r="740" spans="1:6" x14ac:dyDescent="0.35">
      <c r="A740" s="10"/>
      <c r="B740" s="9"/>
      <c r="C740" s="9"/>
      <c r="D740" s="9"/>
      <c r="E740" s="11"/>
      <c r="F740" s="8" t="str">
        <f>IF(C740="","",IFERROR(INDEX(Lists!$C$2:$C$17,MATCH(C740,Lists!$A$2:$A$17,0)),"?"))</f>
        <v/>
      </c>
    </row>
    <row r="741" spans="1:6" x14ac:dyDescent="0.35">
      <c r="A741" s="10"/>
      <c r="B741" s="9"/>
      <c r="C741" s="9"/>
      <c r="D741" s="9"/>
      <c r="E741" s="11"/>
      <c r="F741" s="8" t="str">
        <f>IF(C741="","",IFERROR(INDEX(Lists!$C$2:$C$17,MATCH(C741,Lists!$A$2:$A$17,0)),"?"))</f>
        <v/>
      </c>
    </row>
    <row r="742" spans="1:6" x14ac:dyDescent="0.35">
      <c r="A742" s="10"/>
      <c r="B742" s="9"/>
      <c r="C742" s="9"/>
      <c r="D742" s="9"/>
      <c r="E742" s="11"/>
      <c r="F742" s="8" t="str">
        <f>IF(C742="","",IFERROR(INDEX(Lists!$C$2:$C$17,MATCH(C742,Lists!$A$2:$A$17,0)),"?"))</f>
        <v/>
      </c>
    </row>
    <row r="743" spans="1:6" x14ac:dyDescent="0.35">
      <c r="A743" s="10"/>
      <c r="B743" s="9"/>
      <c r="C743" s="9"/>
      <c r="D743" s="9"/>
      <c r="E743" s="11"/>
      <c r="F743" s="8" t="str">
        <f>IF(C743="","",IFERROR(INDEX(Lists!$C$2:$C$17,MATCH(C743,Lists!$A$2:$A$17,0)),"?"))</f>
        <v/>
      </c>
    </row>
    <row r="744" spans="1:6" x14ac:dyDescent="0.35">
      <c r="A744" s="10"/>
      <c r="B744" s="9"/>
      <c r="C744" s="9"/>
      <c r="D744" s="9"/>
      <c r="E744" s="11"/>
      <c r="F744" s="8" t="str">
        <f>IF(C744="","",IFERROR(INDEX(Lists!$C$2:$C$17,MATCH(C744,Lists!$A$2:$A$17,0)),"?"))</f>
        <v/>
      </c>
    </row>
    <row r="745" spans="1:6" x14ac:dyDescent="0.35">
      <c r="A745" s="10"/>
      <c r="B745" s="9"/>
      <c r="C745" s="9"/>
      <c r="D745" s="9"/>
      <c r="E745" s="11"/>
      <c r="F745" s="8" t="str">
        <f>IF(C745="","",IFERROR(INDEX(Lists!$C$2:$C$17,MATCH(C745,Lists!$A$2:$A$17,0)),"?"))</f>
        <v/>
      </c>
    </row>
    <row r="746" spans="1:6" x14ac:dyDescent="0.35">
      <c r="A746" s="10"/>
      <c r="B746" s="9"/>
      <c r="C746" s="9"/>
      <c r="D746" s="9"/>
      <c r="E746" s="11"/>
      <c r="F746" s="8" t="str">
        <f>IF(C746="","",IFERROR(INDEX(Lists!$C$2:$C$17,MATCH(C746,Lists!$A$2:$A$17,0)),"?"))</f>
        <v/>
      </c>
    </row>
    <row r="747" spans="1:6" x14ac:dyDescent="0.35">
      <c r="A747" s="10"/>
      <c r="B747" s="9"/>
      <c r="C747" s="9"/>
      <c r="D747" s="9"/>
      <c r="E747" s="11"/>
      <c r="F747" s="8" t="str">
        <f>IF(C747="","",IFERROR(INDEX(Lists!$C$2:$C$17,MATCH(C747,Lists!$A$2:$A$17,0)),"?"))</f>
        <v/>
      </c>
    </row>
    <row r="748" spans="1:6" x14ac:dyDescent="0.35">
      <c r="A748" s="10"/>
      <c r="B748" s="9"/>
      <c r="C748" s="9"/>
      <c r="D748" s="9"/>
      <c r="E748" s="11"/>
      <c r="F748" s="8" t="str">
        <f>IF(C748="","",IFERROR(INDEX(Lists!$C$2:$C$17,MATCH(C748,Lists!$A$2:$A$17,0)),"?"))</f>
        <v/>
      </c>
    </row>
    <row r="749" spans="1:6" x14ac:dyDescent="0.35">
      <c r="A749" s="10"/>
      <c r="B749" s="9"/>
      <c r="C749" s="9"/>
      <c r="D749" s="9"/>
      <c r="E749" s="11"/>
      <c r="F749" s="8" t="str">
        <f>IF(C749="","",IFERROR(INDEX(Lists!$C$2:$C$17,MATCH(C749,Lists!$A$2:$A$17,0)),"?"))</f>
        <v/>
      </c>
    </row>
    <row r="750" spans="1:6" x14ac:dyDescent="0.35">
      <c r="A750" s="10"/>
      <c r="B750" s="9"/>
      <c r="C750" s="9"/>
      <c r="D750" s="9"/>
      <c r="E750" s="11"/>
      <c r="F750" s="8" t="str">
        <f>IF(C750="","",IFERROR(INDEX(Lists!$C$2:$C$17,MATCH(C750,Lists!$A$2:$A$17,0)),"?"))</f>
        <v/>
      </c>
    </row>
    <row r="751" spans="1:6" x14ac:dyDescent="0.35">
      <c r="A751" s="10"/>
      <c r="B751" s="9"/>
      <c r="C751" s="9"/>
      <c r="D751" s="9"/>
      <c r="E751" s="11"/>
      <c r="F751" s="8" t="str">
        <f>IF(C751="","",IFERROR(INDEX(Lists!$C$2:$C$17,MATCH(C751,Lists!$A$2:$A$17,0)),"?"))</f>
        <v/>
      </c>
    </row>
    <row r="752" spans="1:6" x14ac:dyDescent="0.35">
      <c r="A752" s="10"/>
      <c r="B752" s="9"/>
      <c r="C752" s="9"/>
      <c r="D752" s="9"/>
      <c r="E752" s="11"/>
      <c r="F752" s="8" t="str">
        <f>IF(C752="","",IFERROR(INDEX(Lists!$C$2:$C$17,MATCH(C752,Lists!$A$2:$A$17,0)),"?"))</f>
        <v/>
      </c>
    </row>
    <row r="753" spans="1:6" x14ac:dyDescent="0.35">
      <c r="A753" s="10"/>
      <c r="B753" s="9"/>
      <c r="C753" s="9"/>
      <c r="D753" s="9"/>
      <c r="E753" s="11"/>
      <c r="F753" s="8" t="str">
        <f>IF(C753="","",IFERROR(INDEX(Lists!$C$2:$C$17,MATCH(C753,Lists!$A$2:$A$17,0)),"?"))</f>
        <v/>
      </c>
    </row>
    <row r="754" spans="1:6" x14ac:dyDescent="0.35">
      <c r="A754" s="10"/>
      <c r="B754" s="9"/>
      <c r="C754" s="9"/>
      <c r="D754" s="9"/>
      <c r="E754" s="11"/>
      <c r="F754" s="8" t="str">
        <f>IF(C754="","",IFERROR(INDEX(Lists!$C$2:$C$17,MATCH(C754,Lists!$A$2:$A$17,0)),"?"))</f>
        <v/>
      </c>
    </row>
    <row r="755" spans="1:6" x14ac:dyDescent="0.35">
      <c r="A755" s="10"/>
      <c r="B755" s="9"/>
      <c r="C755" s="9"/>
      <c r="D755" s="9"/>
      <c r="E755" s="11"/>
      <c r="F755" s="8" t="str">
        <f>IF(C755="","",IFERROR(INDEX(Lists!$C$2:$C$17,MATCH(C755,Lists!$A$2:$A$17,0)),"?"))</f>
        <v/>
      </c>
    </row>
    <row r="756" spans="1:6" x14ac:dyDescent="0.35">
      <c r="A756" s="10"/>
      <c r="B756" s="9"/>
      <c r="C756" s="9"/>
      <c r="D756" s="9"/>
      <c r="E756" s="11"/>
      <c r="F756" s="8" t="str">
        <f>IF(C756="","",IFERROR(INDEX(Lists!$C$2:$C$17,MATCH(C756,Lists!$A$2:$A$17,0)),"?"))</f>
        <v/>
      </c>
    </row>
    <row r="757" spans="1:6" x14ac:dyDescent="0.35">
      <c r="A757" s="10"/>
      <c r="B757" s="9"/>
      <c r="C757" s="9"/>
      <c r="D757" s="9"/>
      <c r="E757" s="11"/>
      <c r="F757" s="8" t="str">
        <f>IF(C757="","",IFERROR(INDEX(Lists!$C$2:$C$17,MATCH(C757,Lists!$A$2:$A$17,0)),"?"))</f>
        <v/>
      </c>
    </row>
    <row r="758" spans="1:6" x14ac:dyDescent="0.35">
      <c r="A758" s="10"/>
      <c r="B758" s="9"/>
      <c r="C758" s="9"/>
      <c r="D758" s="9"/>
      <c r="E758" s="11"/>
      <c r="F758" s="8" t="str">
        <f>IF(C758="","",IFERROR(INDEX(Lists!$C$2:$C$17,MATCH(C758,Lists!$A$2:$A$17,0)),"?"))</f>
        <v/>
      </c>
    </row>
    <row r="759" spans="1:6" x14ac:dyDescent="0.35">
      <c r="A759" s="10"/>
      <c r="B759" s="9"/>
      <c r="C759" s="9"/>
      <c r="D759" s="9"/>
      <c r="E759" s="11"/>
      <c r="F759" s="8" t="str">
        <f>IF(C759="","",IFERROR(INDEX(Lists!$C$2:$C$17,MATCH(C759,Lists!$A$2:$A$17,0)),"?"))</f>
        <v/>
      </c>
    </row>
    <row r="760" spans="1:6" x14ac:dyDescent="0.35">
      <c r="A760" s="10"/>
      <c r="B760" s="9"/>
      <c r="C760" s="9"/>
      <c r="D760" s="9"/>
      <c r="E760" s="11"/>
      <c r="F760" s="8" t="str">
        <f>IF(C760="","",IFERROR(INDEX(Lists!$C$2:$C$17,MATCH(C760,Lists!$A$2:$A$17,0)),"?"))</f>
        <v/>
      </c>
    </row>
    <row r="761" spans="1:6" x14ac:dyDescent="0.35">
      <c r="A761" s="10"/>
      <c r="B761" s="9"/>
      <c r="C761" s="9"/>
      <c r="D761" s="9"/>
      <c r="E761" s="11"/>
      <c r="F761" s="8" t="str">
        <f>IF(C761="","",IFERROR(INDEX(Lists!$C$2:$C$17,MATCH(C761,Lists!$A$2:$A$17,0)),"?"))</f>
        <v/>
      </c>
    </row>
    <row r="762" spans="1:6" x14ac:dyDescent="0.35">
      <c r="A762" s="10"/>
      <c r="B762" s="9"/>
      <c r="C762" s="9"/>
      <c r="D762" s="9"/>
      <c r="E762" s="11"/>
      <c r="F762" s="8" t="str">
        <f>IF(C762="","",IFERROR(INDEX(Lists!$C$2:$C$17,MATCH(C762,Lists!$A$2:$A$17,0)),"?"))</f>
        <v/>
      </c>
    </row>
    <row r="763" spans="1:6" x14ac:dyDescent="0.35">
      <c r="A763" s="10"/>
      <c r="B763" s="9"/>
      <c r="C763" s="9"/>
      <c r="D763" s="9"/>
      <c r="E763" s="11"/>
      <c r="F763" s="8" t="str">
        <f>IF(C763="","",IFERROR(INDEX(Lists!$C$2:$C$17,MATCH(C763,Lists!$A$2:$A$17,0)),"?"))</f>
        <v/>
      </c>
    </row>
    <row r="764" spans="1:6" x14ac:dyDescent="0.35">
      <c r="A764" s="10"/>
      <c r="B764" s="9"/>
      <c r="C764" s="9"/>
      <c r="D764" s="9"/>
      <c r="E764" s="11"/>
      <c r="F764" s="8" t="str">
        <f>IF(C764="","",IFERROR(INDEX(Lists!$C$2:$C$17,MATCH(C764,Lists!$A$2:$A$17,0)),"?"))</f>
        <v/>
      </c>
    </row>
    <row r="765" spans="1:6" x14ac:dyDescent="0.35">
      <c r="A765" s="10"/>
      <c r="B765" s="9"/>
      <c r="C765" s="9"/>
      <c r="D765" s="9"/>
      <c r="E765" s="11"/>
      <c r="F765" s="8" t="str">
        <f>IF(C765="","",IFERROR(INDEX(Lists!$C$2:$C$17,MATCH(C765,Lists!$A$2:$A$17,0)),"?"))</f>
        <v/>
      </c>
    </row>
    <row r="766" spans="1:6" x14ac:dyDescent="0.35">
      <c r="A766" s="10"/>
      <c r="B766" s="9"/>
      <c r="C766" s="9"/>
      <c r="D766" s="9"/>
      <c r="E766" s="11"/>
      <c r="F766" s="8" t="str">
        <f>IF(C766="","",IFERROR(INDEX(Lists!$C$2:$C$17,MATCH(C766,Lists!$A$2:$A$17,0)),"?"))</f>
        <v/>
      </c>
    </row>
    <row r="767" spans="1:6" x14ac:dyDescent="0.35">
      <c r="A767" s="10"/>
      <c r="B767" s="9"/>
      <c r="C767" s="9"/>
      <c r="D767" s="9"/>
      <c r="E767" s="11"/>
      <c r="F767" s="8" t="str">
        <f>IF(C767="","",IFERROR(INDEX(Lists!$C$2:$C$17,MATCH(C767,Lists!$A$2:$A$17,0)),"?"))</f>
        <v/>
      </c>
    </row>
    <row r="768" spans="1:6" x14ac:dyDescent="0.35">
      <c r="A768" s="10"/>
      <c r="B768" s="9"/>
      <c r="C768" s="9"/>
      <c r="D768" s="9"/>
      <c r="E768" s="11"/>
      <c r="F768" s="8" t="str">
        <f>IF(C768="","",IFERROR(INDEX(Lists!$C$2:$C$17,MATCH(C768,Lists!$A$2:$A$17,0)),"?"))</f>
        <v/>
      </c>
    </row>
    <row r="769" spans="1:6" x14ac:dyDescent="0.35">
      <c r="A769" s="10"/>
      <c r="B769" s="9"/>
      <c r="C769" s="9"/>
      <c r="D769" s="9"/>
      <c r="E769" s="11"/>
      <c r="F769" s="8" t="str">
        <f>IF(C769="","",IFERROR(INDEX(Lists!$C$2:$C$17,MATCH(C769,Lists!$A$2:$A$17,0)),"?"))</f>
        <v/>
      </c>
    </row>
    <row r="770" spans="1:6" x14ac:dyDescent="0.35">
      <c r="A770" s="10"/>
      <c r="B770" s="9"/>
      <c r="C770" s="9"/>
      <c r="D770" s="9"/>
      <c r="E770" s="11"/>
      <c r="F770" s="8" t="str">
        <f>IF(C770="","",IFERROR(INDEX(Lists!$C$2:$C$17,MATCH(C770,Lists!$A$2:$A$17,0)),"?"))</f>
        <v/>
      </c>
    </row>
    <row r="771" spans="1:6" x14ac:dyDescent="0.35">
      <c r="A771" s="10"/>
      <c r="B771" s="9"/>
      <c r="C771" s="9"/>
      <c r="D771" s="9"/>
      <c r="E771" s="11"/>
      <c r="F771" s="8" t="str">
        <f>IF(C771="","",IFERROR(INDEX(Lists!$C$2:$C$17,MATCH(C771,Lists!$A$2:$A$17,0)),"?"))</f>
        <v/>
      </c>
    </row>
    <row r="772" spans="1:6" x14ac:dyDescent="0.35">
      <c r="A772" s="10"/>
      <c r="B772" s="9"/>
      <c r="C772" s="9"/>
      <c r="D772" s="9"/>
      <c r="E772" s="11"/>
      <c r="F772" s="8" t="str">
        <f>IF(C772="","",IFERROR(INDEX(Lists!$C$2:$C$17,MATCH(C772,Lists!$A$2:$A$17,0)),"?"))</f>
        <v/>
      </c>
    </row>
    <row r="773" spans="1:6" x14ac:dyDescent="0.35">
      <c r="A773" s="10"/>
      <c r="B773" s="9"/>
      <c r="C773" s="9"/>
      <c r="D773" s="9"/>
      <c r="E773" s="11"/>
      <c r="F773" s="8" t="str">
        <f>IF(C773="","",IFERROR(INDEX(Lists!$C$2:$C$17,MATCH(C773,Lists!$A$2:$A$17,0)),"?"))</f>
        <v/>
      </c>
    </row>
    <row r="774" spans="1:6" x14ac:dyDescent="0.35">
      <c r="A774" s="10"/>
      <c r="B774" s="9"/>
      <c r="C774" s="9"/>
      <c r="D774" s="9"/>
      <c r="E774" s="11"/>
      <c r="F774" s="8" t="str">
        <f>IF(C774="","",IFERROR(INDEX(Lists!$C$2:$C$17,MATCH(C774,Lists!$A$2:$A$17,0)),"?"))</f>
        <v/>
      </c>
    </row>
    <row r="775" spans="1:6" x14ac:dyDescent="0.35">
      <c r="A775" s="10"/>
      <c r="B775" s="9"/>
      <c r="C775" s="9"/>
      <c r="D775" s="9"/>
      <c r="E775" s="11"/>
      <c r="F775" s="8" t="str">
        <f>IF(C775="","",IFERROR(INDEX(Lists!$C$2:$C$17,MATCH(C775,Lists!$A$2:$A$17,0)),"?"))</f>
        <v/>
      </c>
    </row>
    <row r="776" spans="1:6" x14ac:dyDescent="0.35">
      <c r="A776" s="10"/>
      <c r="B776" s="9"/>
      <c r="C776" s="9"/>
      <c r="D776" s="9"/>
      <c r="E776" s="11"/>
      <c r="F776" s="8" t="str">
        <f>IF(C776="","",IFERROR(INDEX(Lists!$C$2:$C$17,MATCH(C776,Lists!$A$2:$A$17,0)),"?"))</f>
        <v/>
      </c>
    </row>
    <row r="777" spans="1:6" x14ac:dyDescent="0.35">
      <c r="A777" s="10"/>
      <c r="B777" s="9"/>
      <c r="C777" s="9"/>
      <c r="D777" s="9"/>
      <c r="E777" s="11"/>
      <c r="F777" s="8" t="str">
        <f>IF(C777="","",IFERROR(INDEX(Lists!$C$2:$C$17,MATCH(C777,Lists!$A$2:$A$17,0)),"?"))</f>
        <v/>
      </c>
    </row>
    <row r="778" spans="1:6" x14ac:dyDescent="0.35">
      <c r="A778" s="10"/>
      <c r="B778" s="9"/>
      <c r="C778" s="9"/>
      <c r="D778" s="9"/>
      <c r="E778" s="11"/>
      <c r="F778" s="8" t="str">
        <f>IF(C778="","",IFERROR(INDEX(Lists!$C$2:$C$17,MATCH(C778,Lists!$A$2:$A$17,0)),"?"))</f>
        <v/>
      </c>
    </row>
    <row r="779" spans="1:6" x14ac:dyDescent="0.35">
      <c r="A779" s="10"/>
      <c r="B779" s="9"/>
      <c r="C779" s="9"/>
      <c r="D779" s="9"/>
      <c r="E779" s="11"/>
      <c r="F779" s="8" t="str">
        <f>IF(C779="","",IFERROR(INDEX(Lists!$C$2:$C$17,MATCH(C779,Lists!$A$2:$A$17,0)),"?"))</f>
        <v/>
      </c>
    </row>
    <row r="780" spans="1:6" x14ac:dyDescent="0.35">
      <c r="A780" s="10"/>
      <c r="B780" s="9"/>
      <c r="C780" s="9"/>
      <c r="D780" s="9"/>
      <c r="E780" s="11"/>
      <c r="F780" s="8" t="str">
        <f>IF(C780="","",IFERROR(INDEX(Lists!$C$2:$C$17,MATCH(C780,Lists!$A$2:$A$17,0)),"?"))</f>
        <v/>
      </c>
    </row>
    <row r="781" spans="1:6" x14ac:dyDescent="0.35">
      <c r="A781" s="10"/>
      <c r="B781" s="9"/>
      <c r="C781" s="9"/>
      <c r="D781" s="9"/>
      <c r="E781" s="11"/>
      <c r="F781" s="8" t="str">
        <f>IF(C781="","",IFERROR(INDEX(Lists!$C$2:$C$17,MATCH(C781,Lists!$A$2:$A$17,0)),"?"))</f>
        <v/>
      </c>
    </row>
    <row r="782" spans="1:6" x14ac:dyDescent="0.35">
      <c r="A782" s="10"/>
      <c r="B782" s="9"/>
      <c r="C782" s="9"/>
      <c r="D782" s="9"/>
      <c r="E782" s="11"/>
      <c r="F782" s="8" t="str">
        <f>IF(C782="","",IFERROR(INDEX(Lists!$C$2:$C$17,MATCH(C782,Lists!$A$2:$A$17,0)),"?"))</f>
        <v/>
      </c>
    </row>
    <row r="783" spans="1:6" x14ac:dyDescent="0.35">
      <c r="A783" s="10"/>
      <c r="B783" s="9"/>
      <c r="C783" s="9"/>
      <c r="D783" s="9"/>
      <c r="E783" s="11"/>
      <c r="F783" s="8" t="str">
        <f>IF(C783="","",IFERROR(INDEX(Lists!$C$2:$C$17,MATCH(C783,Lists!$A$2:$A$17,0)),"?"))</f>
        <v/>
      </c>
    </row>
    <row r="784" spans="1:6" x14ac:dyDescent="0.35">
      <c r="A784" s="10"/>
      <c r="B784" s="9"/>
      <c r="C784" s="9"/>
      <c r="D784" s="9"/>
      <c r="E784" s="11"/>
      <c r="F784" s="8" t="str">
        <f>IF(C784="","",IFERROR(INDEX(Lists!$C$2:$C$17,MATCH(C784,Lists!$A$2:$A$17,0)),"?"))</f>
        <v/>
      </c>
    </row>
    <row r="785" spans="1:6" x14ac:dyDescent="0.35">
      <c r="A785" s="10"/>
      <c r="B785" s="9"/>
      <c r="C785" s="9"/>
      <c r="D785" s="9"/>
      <c r="E785" s="11"/>
      <c r="F785" s="8" t="str">
        <f>IF(C785="","",IFERROR(INDEX(Lists!$C$2:$C$17,MATCH(C785,Lists!$A$2:$A$17,0)),"?"))</f>
        <v/>
      </c>
    </row>
    <row r="786" spans="1:6" x14ac:dyDescent="0.35">
      <c r="A786" s="10"/>
      <c r="B786" s="9"/>
      <c r="C786" s="9"/>
      <c r="D786" s="9"/>
      <c r="E786" s="11"/>
      <c r="F786" s="8" t="str">
        <f>IF(C786="","",IFERROR(INDEX(Lists!$C$2:$C$17,MATCH(C786,Lists!$A$2:$A$17,0)),"?"))</f>
        <v/>
      </c>
    </row>
    <row r="787" spans="1:6" x14ac:dyDescent="0.35">
      <c r="A787" s="10"/>
      <c r="B787" s="9"/>
      <c r="C787" s="9"/>
      <c r="D787" s="9"/>
      <c r="E787" s="11"/>
      <c r="F787" s="8" t="str">
        <f>IF(C787="","",IFERROR(INDEX(Lists!$C$2:$C$17,MATCH(C787,Lists!$A$2:$A$17,0)),"?"))</f>
        <v/>
      </c>
    </row>
    <row r="788" spans="1:6" x14ac:dyDescent="0.35">
      <c r="A788" s="10"/>
      <c r="B788" s="9"/>
      <c r="C788" s="9"/>
      <c r="D788" s="9"/>
      <c r="E788" s="11"/>
      <c r="F788" s="8" t="str">
        <f>IF(C788="","",IFERROR(INDEX(Lists!$C$2:$C$17,MATCH(C788,Lists!$A$2:$A$17,0)),"?"))</f>
        <v/>
      </c>
    </row>
    <row r="789" spans="1:6" x14ac:dyDescent="0.35">
      <c r="A789" s="10"/>
      <c r="B789" s="9"/>
      <c r="C789" s="9"/>
      <c r="D789" s="9"/>
      <c r="E789" s="11"/>
      <c r="F789" s="8" t="str">
        <f>IF(C789="","",IFERROR(INDEX(Lists!$C$2:$C$17,MATCH(C789,Lists!$A$2:$A$17,0)),"?"))</f>
        <v/>
      </c>
    </row>
    <row r="790" spans="1:6" x14ac:dyDescent="0.35">
      <c r="A790" s="10"/>
      <c r="B790" s="9"/>
      <c r="C790" s="9"/>
      <c r="D790" s="9"/>
      <c r="E790" s="11"/>
      <c r="F790" s="8" t="str">
        <f>IF(C790="","",IFERROR(INDEX(Lists!$C$2:$C$17,MATCH(C790,Lists!$A$2:$A$17,0)),"?"))</f>
        <v/>
      </c>
    </row>
    <row r="791" spans="1:6" x14ac:dyDescent="0.35">
      <c r="A791" s="10"/>
      <c r="B791" s="9"/>
      <c r="C791" s="9"/>
      <c r="D791" s="9"/>
      <c r="E791" s="11"/>
      <c r="F791" s="8" t="str">
        <f>IF(C791="","",IFERROR(INDEX(Lists!$C$2:$C$17,MATCH(C791,Lists!$A$2:$A$17,0)),"?"))</f>
        <v/>
      </c>
    </row>
    <row r="792" spans="1:6" x14ac:dyDescent="0.35">
      <c r="A792" s="10"/>
      <c r="B792" s="9"/>
      <c r="C792" s="9"/>
      <c r="D792" s="9"/>
      <c r="E792" s="11"/>
      <c r="F792" s="8" t="str">
        <f>IF(C792="","",IFERROR(INDEX(Lists!$C$2:$C$17,MATCH(C792,Lists!$A$2:$A$17,0)),"?"))</f>
        <v/>
      </c>
    </row>
    <row r="793" spans="1:6" x14ac:dyDescent="0.35">
      <c r="A793" s="10"/>
      <c r="B793" s="9"/>
      <c r="C793" s="9"/>
      <c r="D793" s="9"/>
      <c r="E793" s="11"/>
      <c r="F793" s="8" t="str">
        <f>IF(C793="","",IFERROR(INDEX(Lists!$C$2:$C$17,MATCH(C793,Lists!$A$2:$A$17,0)),"?"))</f>
        <v/>
      </c>
    </row>
    <row r="794" spans="1:6" x14ac:dyDescent="0.35">
      <c r="A794" s="10"/>
      <c r="B794" s="9"/>
      <c r="C794" s="9"/>
      <c r="D794" s="9"/>
      <c r="E794" s="11"/>
      <c r="F794" s="8" t="str">
        <f>IF(C794="","",IFERROR(INDEX(Lists!$C$2:$C$17,MATCH(C794,Lists!$A$2:$A$17,0)),"?"))</f>
        <v/>
      </c>
    </row>
    <row r="795" spans="1:6" x14ac:dyDescent="0.35">
      <c r="A795" s="10"/>
      <c r="B795" s="9"/>
      <c r="C795" s="9"/>
      <c r="D795" s="9"/>
      <c r="E795" s="11"/>
      <c r="F795" s="8" t="str">
        <f>IF(C795="","",IFERROR(INDEX(Lists!$C$2:$C$17,MATCH(C795,Lists!$A$2:$A$17,0)),"?"))</f>
        <v/>
      </c>
    </row>
    <row r="796" spans="1:6" x14ac:dyDescent="0.35">
      <c r="A796" s="10"/>
      <c r="B796" s="9"/>
      <c r="C796" s="9"/>
      <c r="D796" s="9"/>
      <c r="E796" s="11"/>
      <c r="F796" s="8" t="str">
        <f>IF(C796="","",IFERROR(INDEX(Lists!$C$2:$C$17,MATCH(C796,Lists!$A$2:$A$17,0)),"?"))</f>
        <v/>
      </c>
    </row>
    <row r="797" spans="1:6" x14ac:dyDescent="0.35">
      <c r="A797" s="10"/>
      <c r="B797" s="9"/>
      <c r="C797" s="9"/>
      <c r="D797" s="9"/>
      <c r="E797" s="11"/>
      <c r="F797" s="8" t="str">
        <f>IF(C797="","",IFERROR(INDEX(Lists!$C$2:$C$17,MATCH(C797,Lists!$A$2:$A$17,0)),"?"))</f>
        <v/>
      </c>
    </row>
    <row r="798" spans="1:6" x14ac:dyDescent="0.35">
      <c r="A798" s="10"/>
      <c r="B798" s="9"/>
      <c r="C798" s="9"/>
      <c r="D798" s="9"/>
      <c r="E798" s="11"/>
      <c r="F798" s="8" t="str">
        <f>IF(C798="","",IFERROR(INDEX(Lists!$C$2:$C$17,MATCH(C798,Lists!$A$2:$A$17,0)),"?"))</f>
        <v/>
      </c>
    </row>
    <row r="799" spans="1:6" x14ac:dyDescent="0.35">
      <c r="A799" s="10"/>
      <c r="B799" s="9"/>
      <c r="C799" s="9"/>
      <c r="D799" s="9"/>
      <c r="E799" s="11"/>
      <c r="F799" s="8" t="str">
        <f>IF(C799="","",IFERROR(INDEX(Lists!$C$2:$C$17,MATCH(C799,Lists!$A$2:$A$17,0)),"?"))</f>
        <v/>
      </c>
    </row>
    <row r="800" spans="1:6" x14ac:dyDescent="0.35">
      <c r="A800" s="10"/>
      <c r="B800" s="9"/>
      <c r="C800" s="9"/>
      <c r="D800" s="9"/>
      <c r="E800" s="11"/>
      <c r="F800" s="8" t="str">
        <f>IF(C800="","",IFERROR(INDEX(Lists!$C$2:$C$17,MATCH(C800,Lists!$A$2:$A$17,0)),"?"))</f>
        <v/>
      </c>
    </row>
    <row r="801" spans="1:6" x14ac:dyDescent="0.35">
      <c r="A801" s="10"/>
      <c r="B801" s="9"/>
      <c r="C801" s="9"/>
      <c r="D801" s="9"/>
      <c r="E801" s="11"/>
      <c r="F801" s="8" t="str">
        <f>IF(C801="","",IFERROR(INDEX(Lists!$C$2:$C$17,MATCH(C801,Lists!$A$2:$A$17,0)),"?"))</f>
        <v/>
      </c>
    </row>
    <row r="802" spans="1:6" x14ac:dyDescent="0.35">
      <c r="A802" s="10"/>
      <c r="B802" s="9"/>
      <c r="C802" s="9"/>
      <c r="D802" s="9"/>
      <c r="E802" s="11"/>
      <c r="F802" s="8" t="str">
        <f>IF(C802="","",IFERROR(INDEX(Lists!$C$2:$C$17,MATCH(C802,Lists!$A$2:$A$17,0)),"?"))</f>
        <v/>
      </c>
    </row>
    <row r="803" spans="1:6" x14ac:dyDescent="0.35">
      <c r="A803" s="10"/>
      <c r="B803" s="9"/>
      <c r="C803" s="9"/>
      <c r="D803" s="9"/>
      <c r="E803" s="11"/>
      <c r="F803" s="8" t="str">
        <f>IF(C803="","",IFERROR(INDEX(Lists!$C$2:$C$17,MATCH(C803,Lists!$A$2:$A$17,0)),"?"))</f>
        <v/>
      </c>
    </row>
    <row r="804" spans="1:6" x14ac:dyDescent="0.35">
      <c r="A804" s="10"/>
      <c r="B804" s="9"/>
      <c r="C804" s="9"/>
      <c r="D804" s="9"/>
      <c r="E804" s="11"/>
      <c r="F804" s="8" t="str">
        <f>IF(C804="","",IFERROR(INDEX(Lists!$C$2:$C$17,MATCH(C804,Lists!$A$2:$A$17,0)),"?"))</f>
        <v/>
      </c>
    </row>
    <row r="805" spans="1:6" x14ac:dyDescent="0.35">
      <c r="A805" s="10"/>
      <c r="B805" s="9"/>
      <c r="C805" s="9"/>
      <c r="D805" s="9"/>
      <c r="E805" s="11"/>
      <c r="F805" s="8" t="str">
        <f>IF(C805="","",IFERROR(INDEX(Lists!$C$2:$C$17,MATCH(C805,Lists!$A$2:$A$17,0)),"?"))</f>
        <v/>
      </c>
    </row>
    <row r="806" spans="1:6" x14ac:dyDescent="0.35">
      <c r="A806" s="10"/>
      <c r="B806" s="9"/>
      <c r="C806" s="9"/>
      <c r="D806" s="9"/>
      <c r="E806" s="11"/>
      <c r="F806" s="8" t="str">
        <f>IF(C806="","",IFERROR(INDEX(Lists!$C$2:$C$17,MATCH(C806,Lists!$A$2:$A$17,0)),"?"))</f>
        <v/>
      </c>
    </row>
    <row r="807" spans="1:6" x14ac:dyDescent="0.35">
      <c r="A807" s="10"/>
      <c r="B807" s="9"/>
      <c r="C807" s="9"/>
      <c r="D807" s="9"/>
      <c r="E807" s="11"/>
      <c r="F807" s="8" t="str">
        <f>IF(C807="","",IFERROR(INDEX(Lists!$C$2:$C$17,MATCH(C807,Lists!$A$2:$A$17,0)),"?"))</f>
        <v/>
      </c>
    </row>
    <row r="808" spans="1:6" x14ac:dyDescent="0.35">
      <c r="A808" s="10"/>
      <c r="B808" s="9"/>
      <c r="C808" s="9"/>
      <c r="D808" s="9"/>
      <c r="E808" s="11"/>
      <c r="F808" s="8" t="str">
        <f>IF(C808="","",IFERROR(INDEX(Lists!$C$2:$C$17,MATCH(C808,Lists!$A$2:$A$17,0)),"?"))</f>
        <v/>
      </c>
    </row>
    <row r="809" spans="1:6" x14ac:dyDescent="0.35">
      <c r="A809" s="10"/>
      <c r="B809" s="9"/>
      <c r="C809" s="9"/>
      <c r="D809" s="9"/>
      <c r="E809" s="11"/>
      <c r="F809" s="8" t="str">
        <f>IF(C809="","",IFERROR(INDEX(Lists!$C$2:$C$17,MATCH(C809,Lists!$A$2:$A$17,0)),"?"))</f>
        <v/>
      </c>
    </row>
    <row r="810" spans="1:6" x14ac:dyDescent="0.35">
      <c r="A810" s="10"/>
      <c r="B810" s="9"/>
      <c r="C810" s="9"/>
      <c r="D810" s="9"/>
      <c r="E810" s="11"/>
      <c r="F810" s="8" t="str">
        <f>IF(C810="","",IFERROR(INDEX(Lists!$C$2:$C$17,MATCH(C810,Lists!$A$2:$A$17,0)),"?"))</f>
        <v/>
      </c>
    </row>
    <row r="811" spans="1:6" x14ac:dyDescent="0.35">
      <c r="A811" s="10"/>
      <c r="B811" s="9"/>
      <c r="C811" s="9"/>
      <c r="D811" s="9"/>
      <c r="E811" s="11"/>
      <c r="F811" s="8" t="str">
        <f>IF(C811="","",IFERROR(INDEX(Lists!$C$2:$C$17,MATCH(C811,Lists!$A$2:$A$17,0)),"?"))</f>
        <v/>
      </c>
    </row>
    <row r="812" spans="1:6" x14ac:dyDescent="0.35">
      <c r="A812" s="10"/>
      <c r="B812" s="9"/>
      <c r="C812" s="9"/>
      <c r="D812" s="9"/>
      <c r="E812" s="11"/>
      <c r="F812" s="8" t="str">
        <f>IF(C812="","",IFERROR(INDEX(Lists!$C$2:$C$17,MATCH(C812,Lists!$A$2:$A$17,0)),"?"))</f>
        <v/>
      </c>
    </row>
    <row r="813" spans="1:6" x14ac:dyDescent="0.35">
      <c r="A813" s="10"/>
      <c r="B813" s="9"/>
      <c r="C813" s="9"/>
      <c r="D813" s="9"/>
      <c r="E813" s="11"/>
      <c r="F813" s="8" t="str">
        <f>IF(C813="","",IFERROR(INDEX(Lists!$C$2:$C$17,MATCH(C813,Lists!$A$2:$A$17,0)),"?"))</f>
        <v/>
      </c>
    </row>
    <row r="814" spans="1:6" x14ac:dyDescent="0.35">
      <c r="A814" s="10"/>
      <c r="B814" s="9"/>
      <c r="C814" s="9"/>
      <c r="D814" s="9"/>
      <c r="E814" s="11"/>
      <c r="F814" s="8" t="str">
        <f>IF(C814="","",IFERROR(INDEX(Lists!$C$2:$C$17,MATCH(C814,Lists!$A$2:$A$17,0)),"?"))</f>
        <v/>
      </c>
    </row>
    <row r="815" spans="1:6" x14ac:dyDescent="0.35">
      <c r="A815" s="10"/>
      <c r="B815" s="9"/>
      <c r="C815" s="9"/>
      <c r="D815" s="9"/>
      <c r="E815" s="11"/>
      <c r="F815" s="8" t="str">
        <f>IF(C815="","",IFERROR(INDEX(Lists!$C$2:$C$17,MATCH(C815,Lists!$A$2:$A$17,0)),"?"))</f>
        <v/>
      </c>
    </row>
    <row r="816" spans="1:6" x14ac:dyDescent="0.35">
      <c r="A816" s="10"/>
      <c r="B816" s="9"/>
      <c r="C816" s="9"/>
      <c r="D816" s="9"/>
      <c r="E816" s="11"/>
      <c r="F816" s="8" t="str">
        <f>IF(C816="","",IFERROR(INDEX(Lists!$C$2:$C$17,MATCH(C816,Lists!$A$2:$A$17,0)),"?"))</f>
        <v/>
      </c>
    </row>
    <row r="817" spans="1:6" x14ac:dyDescent="0.35">
      <c r="A817" s="10"/>
      <c r="B817" s="9"/>
      <c r="C817" s="9"/>
      <c r="D817" s="9"/>
      <c r="E817" s="11"/>
      <c r="F817" s="8" t="str">
        <f>IF(C817="","",IFERROR(INDEX(Lists!$C$2:$C$17,MATCH(C817,Lists!$A$2:$A$17,0)),"?"))</f>
        <v/>
      </c>
    </row>
    <row r="818" spans="1:6" x14ac:dyDescent="0.35">
      <c r="A818" s="10"/>
      <c r="B818" s="9"/>
      <c r="C818" s="9"/>
      <c r="D818" s="9"/>
      <c r="E818" s="11"/>
      <c r="F818" s="8" t="str">
        <f>IF(C818="","",IFERROR(INDEX(Lists!$C$2:$C$17,MATCH(C818,Lists!$A$2:$A$17,0)),"?"))</f>
        <v/>
      </c>
    </row>
    <row r="819" spans="1:6" x14ac:dyDescent="0.35">
      <c r="A819" s="10"/>
      <c r="B819" s="9"/>
      <c r="C819" s="9"/>
      <c r="D819" s="9"/>
      <c r="E819" s="11"/>
      <c r="F819" s="8" t="str">
        <f>IF(C819="","",IFERROR(INDEX(Lists!$C$2:$C$17,MATCH(C819,Lists!$A$2:$A$17,0)),"?"))</f>
        <v/>
      </c>
    </row>
    <row r="820" spans="1:6" x14ac:dyDescent="0.35">
      <c r="A820" s="10"/>
      <c r="B820" s="9"/>
      <c r="C820" s="9"/>
      <c r="D820" s="9"/>
      <c r="E820" s="11"/>
      <c r="F820" s="8" t="str">
        <f>IF(C820="","",IFERROR(INDEX(Lists!$C$2:$C$17,MATCH(C820,Lists!$A$2:$A$17,0)),"?"))</f>
        <v/>
      </c>
    </row>
    <row r="821" spans="1:6" x14ac:dyDescent="0.35">
      <c r="A821" s="10"/>
      <c r="B821" s="9"/>
      <c r="C821" s="9"/>
      <c r="D821" s="9"/>
      <c r="E821" s="11"/>
      <c r="F821" s="8" t="str">
        <f>IF(C821="","",IFERROR(INDEX(Lists!$C$2:$C$17,MATCH(C821,Lists!$A$2:$A$17,0)),"?"))</f>
        <v/>
      </c>
    </row>
    <row r="822" spans="1:6" x14ac:dyDescent="0.35">
      <c r="A822" s="10"/>
      <c r="B822" s="9"/>
      <c r="C822" s="9"/>
      <c r="D822" s="9"/>
      <c r="E822" s="11"/>
      <c r="F822" s="8" t="str">
        <f>IF(C822="","",IFERROR(INDEX(Lists!$C$2:$C$17,MATCH(C822,Lists!$A$2:$A$17,0)),"?"))</f>
        <v/>
      </c>
    </row>
    <row r="823" spans="1:6" x14ac:dyDescent="0.35">
      <c r="A823" s="10"/>
      <c r="B823" s="9"/>
      <c r="C823" s="9"/>
      <c r="D823" s="9"/>
      <c r="E823" s="11"/>
      <c r="F823" s="8" t="str">
        <f>IF(C823="","",IFERROR(INDEX(Lists!$C$2:$C$17,MATCH(C823,Lists!$A$2:$A$17,0)),"?"))</f>
        <v/>
      </c>
    </row>
    <row r="824" spans="1:6" x14ac:dyDescent="0.35">
      <c r="A824" s="10"/>
      <c r="B824" s="9"/>
      <c r="C824" s="9"/>
      <c r="D824" s="9"/>
      <c r="E824" s="11"/>
      <c r="F824" s="8" t="str">
        <f>IF(C824="","",IFERROR(INDEX(Lists!$C$2:$C$17,MATCH(C824,Lists!$A$2:$A$17,0)),"?"))</f>
        <v/>
      </c>
    </row>
    <row r="825" spans="1:6" x14ac:dyDescent="0.35">
      <c r="A825" s="10"/>
      <c r="B825" s="9"/>
      <c r="C825" s="9"/>
      <c r="D825" s="9"/>
      <c r="E825" s="11"/>
      <c r="F825" s="8" t="str">
        <f>IF(C825="","",IFERROR(INDEX(Lists!$C$2:$C$17,MATCH(C825,Lists!$A$2:$A$17,0)),"?"))</f>
        <v/>
      </c>
    </row>
    <row r="826" spans="1:6" x14ac:dyDescent="0.35">
      <c r="A826" s="10"/>
      <c r="B826" s="9"/>
      <c r="C826" s="9"/>
      <c r="D826" s="9"/>
      <c r="E826" s="11"/>
      <c r="F826" s="8" t="str">
        <f>IF(C826="","",IFERROR(INDEX(Lists!$C$2:$C$17,MATCH(C826,Lists!$A$2:$A$17,0)),"?"))</f>
        <v/>
      </c>
    </row>
    <row r="827" spans="1:6" x14ac:dyDescent="0.35">
      <c r="A827" s="10"/>
      <c r="B827" s="9"/>
      <c r="C827" s="9"/>
      <c r="D827" s="9"/>
      <c r="E827" s="11"/>
      <c r="F827" s="8" t="str">
        <f>IF(C827="","",IFERROR(INDEX(Lists!$C$2:$C$17,MATCH(C827,Lists!$A$2:$A$17,0)),"?"))</f>
        <v/>
      </c>
    </row>
    <row r="828" spans="1:6" x14ac:dyDescent="0.35">
      <c r="A828" s="10"/>
      <c r="B828" s="9"/>
      <c r="C828" s="9"/>
      <c r="D828" s="9"/>
      <c r="E828" s="11"/>
      <c r="F828" s="8" t="str">
        <f>IF(C828="","",IFERROR(INDEX(Lists!$C$2:$C$17,MATCH(C828,Lists!$A$2:$A$17,0)),"?"))</f>
        <v/>
      </c>
    </row>
    <row r="829" spans="1:6" x14ac:dyDescent="0.35">
      <c r="A829" s="10"/>
      <c r="B829" s="9"/>
      <c r="C829" s="9"/>
      <c r="D829" s="9"/>
      <c r="E829" s="11"/>
      <c r="F829" s="8" t="str">
        <f>IF(C829="","",IFERROR(INDEX(Lists!$C$2:$C$17,MATCH(C829,Lists!$A$2:$A$17,0)),"?"))</f>
        <v/>
      </c>
    </row>
    <row r="830" spans="1:6" x14ac:dyDescent="0.35">
      <c r="A830" s="10"/>
      <c r="B830" s="9"/>
      <c r="C830" s="9"/>
      <c r="D830" s="9"/>
      <c r="E830" s="11"/>
      <c r="F830" s="8" t="str">
        <f>IF(C830="","",IFERROR(INDEX(Lists!$C$2:$C$17,MATCH(C830,Lists!$A$2:$A$17,0)),"?"))</f>
        <v/>
      </c>
    </row>
    <row r="831" spans="1:6" x14ac:dyDescent="0.35">
      <c r="A831" s="10"/>
      <c r="B831" s="9"/>
      <c r="C831" s="9"/>
      <c r="D831" s="9"/>
      <c r="E831" s="11"/>
      <c r="F831" s="8" t="str">
        <f>IF(C831="","",IFERROR(INDEX(Lists!$C$2:$C$17,MATCH(C831,Lists!$A$2:$A$17,0)),"?"))</f>
        <v/>
      </c>
    </row>
    <row r="832" spans="1:6" x14ac:dyDescent="0.35">
      <c r="A832" s="10"/>
      <c r="B832" s="9"/>
      <c r="C832" s="9"/>
      <c r="D832" s="9"/>
      <c r="E832" s="11"/>
      <c r="F832" s="8" t="str">
        <f>IF(C832="","",IFERROR(INDEX(Lists!$C$2:$C$17,MATCH(C832,Lists!$A$2:$A$17,0)),"?"))</f>
        <v/>
      </c>
    </row>
    <row r="833" spans="1:6" x14ac:dyDescent="0.35">
      <c r="A833" s="10"/>
      <c r="B833" s="9"/>
      <c r="C833" s="9"/>
      <c r="D833" s="9"/>
      <c r="E833" s="11"/>
      <c r="F833" s="8" t="str">
        <f>IF(C833="","",IFERROR(INDEX(Lists!$C$2:$C$17,MATCH(C833,Lists!$A$2:$A$17,0)),"?"))</f>
        <v/>
      </c>
    </row>
    <row r="834" spans="1:6" x14ac:dyDescent="0.35">
      <c r="A834" s="10"/>
      <c r="B834" s="9"/>
      <c r="C834" s="9"/>
      <c r="D834" s="9"/>
      <c r="E834" s="11"/>
      <c r="F834" s="8" t="str">
        <f>IF(C834="","",IFERROR(INDEX(Lists!$C$2:$C$17,MATCH(C834,Lists!$A$2:$A$17,0)),"?"))</f>
        <v/>
      </c>
    </row>
    <row r="835" spans="1:6" x14ac:dyDescent="0.35">
      <c r="A835" s="10"/>
      <c r="B835" s="9"/>
      <c r="C835" s="9"/>
      <c r="D835" s="9"/>
      <c r="E835" s="11"/>
      <c r="F835" s="8" t="str">
        <f>IF(C835="","",IFERROR(INDEX(Lists!$C$2:$C$17,MATCH(C835,Lists!$A$2:$A$17,0)),"?"))</f>
        <v/>
      </c>
    </row>
    <row r="836" spans="1:6" x14ac:dyDescent="0.35">
      <c r="A836" s="10"/>
      <c r="B836" s="9"/>
      <c r="C836" s="9"/>
      <c r="D836" s="9"/>
      <c r="E836" s="11"/>
      <c r="F836" s="8" t="str">
        <f>IF(C836="","",IFERROR(INDEX(Lists!$C$2:$C$17,MATCH(C836,Lists!$A$2:$A$17,0)),"?"))</f>
        <v/>
      </c>
    </row>
    <row r="837" spans="1:6" x14ac:dyDescent="0.35">
      <c r="A837" s="10"/>
      <c r="B837" s="9"/>
      <c r="C837" s="9"/>
      <c r="D837" s="9"/>
      <c r="E837" s="11"/>
      <c r="F837" s="8" t="str">
        <f>IF(C837="","",IFERROR(INDEX(Lists!$C$2:$C$17,MATCH(C837,Lists!$A$2:$A$17,0)),"?"))</f>
        <v/>
      </c>
    </row>
    <row r="838" spans="1:6" x14ac:dyDescent="0.35">
      <c r="A838" s="10"/>
      <c r="B838" s="9"/>
      <c r="C838" s="9"/>
      <c r="D838" s="9"/>
      <c r="E838" s="11"/>
      <c r="F838" s="8" t="str">
        <f>IF(C838="","",IFERROR(INDEX(Lists!$C$2:$C$17,MATCH(C838,Lists!$A$2:$A$17,0)),"?"))</f>
        <v/>
      </c>
    </row>
    <row r="839" spans="1:6" x14ac:dyDescent="0.35">
      <c r="A839" s="10"/>
      <c r="B839" s="9"/>
      <c r="C839" s="9"/>
      <c r="D839" s="9"/>
      <c r="E839" s="11"/>
      <c r="F839" s="8" t="str">
        <f>IF(C839="","",IFERROR(INDEX(Lists!$C$2:$C$17,MATCH(C839,Lists!$A$2:$A$17,0)),"?"))</f>
        <v/>
      </c>
    </row>
    <row r="840" spans="1:6" x14ac:dyDescent="0.35">
      <c r="A840" s="10"/>
      <c r="B840" s="9"/>
      <c r="C840" s="9"/>
      <c r="D840" s="9"/>
      <c r="E840" s="11"/>
      <c r="F840" s="8" t="str">
        <f>IF(C840="","",IFERROR(INDEX(Lists!$C$2:$C$17,MATCH(C840,Lists!$A$2:$A$17,0)),"?"))</f>
        <v/>
      </c>
    </row>
    <row r="841" spans="1:6" x14ac:dyDescent="0.35">
      <c r="A841" s="10"/>
      <c r="B841" s="9"/>
      <c r="C841" s="9"/>
      <c r="D841" s="9"/>
      <c r="E841" s="11"/>
      <c r="F841" s="8" t="str">
        <f>IF(C841="","",IFERROR(INDEX(Lists!$C$2:$C$17,MATCH(C841,Lists!$A$2:$A$17,0)),"?"))</f>
        <v/>
      </c>
    </row>
    <row r="842" spans="1:6" x14ac:dyDescent="0.35">
      <c r="A842" s="10"/>
      <c r="B842" s="9"/>
      <c r="C842" s="9"/>
      <c r="D842" s="9"/>
      <c r="E842" s="11"/>
      <c r="F842" s="8" t="str">
        <f>IF(C842="","",IFERROR(INDEX(Lists!$C$2:$C$17,MATCH(C842,Lists!$A$2:$A$17,0)),"?"))</f>
        <v/>
      </c>
    </row>
    <row r="843" spans="1:6" x14ac:dyDescent="0.35">
      <c r="A843" s="10"/>
      <c r="B843" s="9"/>
      <c r="C843" s="9"/>
      <c r="D843" s="9"/>
      <c r="E843" s="11"/>
      <c r="F843" s="8" t="str">
        <f>IF(C843="","",IFERROR(INDEX(Lists!$C$2:$C$17,MATCH(C843,Lists!$A$2:$A$17,0)),"?"))</f>
        <v/>
      </c>
    </row>
    <row r="844" spans="1:6" x14ac:dyDescent="0.35">
      <c r="A844" s="10"/>
      <c r="B844" s="9"/>
      <c r="C844" s="9"/>
      <c r="D844" s="9"/>
      <c r="E844" s="11"/>
      <c r="F844" s="8" t="str">
        <f>IF(C844="","",IFERROR(INDEX(Lists!$C$2:$C$17,MATCH(C844,Lists!$A$2:$A$17,0)),"?"))</f>
        <v/>
      </c>
    </row>
    <row r="845" spans="1:6" x14ac:dyDescent="0.35">
      <c r="A845" s="10"/>
      <c r="B845" s="9"/>
      <c r="C845" s="9"/>
      <c r="D845" s="9"/>
      <c r="E845" s="11"/>
      <c r="F845" s="8" t="str">
        <f>IF(C845="","",IFERROR(INDEX(Lists!$C$2:$C$17,MATCH(C845,Lists!$A$2:$A$17,0)),"?"))</f>
        <v/>
      </c>
    </row>
    <row r="846" spans="1:6" x14ac:dyDescent="0.35">
      <c r="A846" s="10"/>
      <c r="B846" s="9"/>
      <c r="C846" s="9"/>
      <c r="D846" s="9"/>
      <c r="E846" s="11"/>
      <c r="F846" s="8" t="str">
        <f>IF(C846="","",IFERROR(INDEX(Lists!$C$2:$C$17,MATCH(C846,Lists!$A$2:$A$17,0)),"?"))</f>
        <v/>
      </c>
    </row>
    <row r="847" spans="1:6" x14ac:dyDescent="0.35">
      <c r="A847" s="10"/>
      <c r="B847" s="9"/>
      <c r="C847" s="9"/>
      <c r="D847" s="9"/>
      <c r="E847" s="11"/>
      <c r="F847" s="8" t="str">
        <f>IF(C847="","",IFERROR(INDEX(Lists!$C$2:$C$17,MATCH(C847,Lists!$A$2:$A$17,0)),"?"))</f>
        <v/>
      </c>
    </row>
    <row r="848" spans="1:6" x14ac:dyDescent="0.35">
      <c r="A848" s="10"/>
      <c r="B848" s="9"/>
      <c r="C848" s="9"/>
      <c r="D848" s="9"/>
      <c r="E848" s="11"/>
      <c r="F848" s="8" t="str">
        <f>IF(C848="","",IFERROR(INDEX(Lists!$C$2:$C$17,MATCH(C848,Lists!$A$2:$A$17,0)),"?"))</f>
        <v/>
      </c>
    </row>
    <row r="849" spans="1:6" x14ac:dyDescent="0.35">
      <c r="A849" s="10"/>
      <c r="B849" s="9"/>
      <c r="C849" s="9"/>
      <c r="D849" s="9"/>
      <c r="E849" s="11"/>
      <c r="F849" s="8" t="str">
        <f>IF(C849="","",IFERROR(INDEX(Lists!$C$2:$C$17,MATCH(C849,Lists!$A$2:$A$17,0)),"?"))</f>
        <v/>
      </c>
    </row>
    <row r="850" spans="1:6" x14ac:dyDescent="0.35">
      <c r="A850" s="10"/>
      <c r="B850" s="9"/>
      <c r="C850" s="9"/>
      <c r="D850" s="9"/>
      <c r="E850" s="11"/>
      <c r="F850" s="8" t="str">
        <f>IF(C850="","",IFERROR(INDEX(Lists!$C$2:$C$17,MATCH(C850,Lists!$A$2:$A$17,0)),"?"))</f>
        <v/>
      </c>
    </row>
    <row r="851" spans="1:6" x14ac:dyDescent="0.35">
      <c r="A851" s="10"/>
      <c r="B851" s="9"/>
      <c r="C851" s="9"/>
      <c r="D851" s="9"/>
      <c r="E851" s="11"/>
      <c r="F851" s="8" t="str">
        <f>IF(C851="","",IFERROR(INDEX(Lists!$C$2:$C$17,MATCH(C851,Lists!$A$2:$A$17,0)),"?"))</f>
        <v/>
      </c>
    </row>
    <row r="852" spans="1:6" x14ac:dyDescent="0.35">
      <c r="A852" s="10"/>
      <c r="B852" s="9"/>
      <c r="C852" s="9"/>
      <c r="D852" s="9"/>
      <c r="E852" s="11"/>
      <c r="F852" s="8" t="str">
        <f>IF(C852="","",IFERROR(INDEX(Lists!$C$2:$C$17,MATCH(C852,Lists!$A$2:$A$17,0)),"?"))</f>
        <v/>
      </c>
    </row>
    <row r="853" spans="1:6" x14ac:dyDescent="0.35">
      <c r="A853" s="10"/>
      <c r="B853" s="9"/>
      <c r="C853" s="9"/>
      <c r="D853" s="9"/>
      <c r="E853" s="11"/>
      <c r="F853" s="8" t="str">
        <f>IF(C853="","",IFERROR(INDEX(Lists!$C$2:$C$17,MATCH(C853,Lists!$A$2:$A$17,0)),"?"))</f>
        <v/>
      </c>
    </row>
    <row r="854" spans="1:6" x14ac:dyDescent="0.35">
      <c r="A854" s="10"/>
      <c r="B854" s="9"/>
      <c r="C854" s="9"/>
      <c r="D854" s="9"/>
      <c r="E854" s="11"/>
      <c r="F854" s="8" t="str">
        <f>IF(C854="","",IFERROR(INDEX(Lists!$C$2:$C$17,MATCH(C854,Lists!$A$2:$A$17,0)),"?"))</f>
        <v/>
      </c>
    </row>
    <row r="855" spans="1:6" x14ac:dyDescent="0.35">
      <c r="A855" s="10"/>
      <c r="B855" s="9"/>
      <c r="C855" s="9"/>
      <c r="D855" s="9"/>
      <c r="E855" s="11"/>
      <c r="F855" s="8" t="str">
        <f>IF(C855="","",IFERROR(INDEX(Lists!$C$2:$C$17,MATCH(C855,Lists!$A$2:$A$17,0)),"?"))</f>
        <v/>
      </c>
    </row>
    <row r="856" spans="1:6" x14ac:dyDescent="0.35">
      <c r="A856" s="10"/>
      <c r="B856" s="9"/>
      <c r="C856" s="9"/>
      <c r="D856" s="9"/>
      <c r="E856" s="11"/>
      <c r="F856" s="8" t="str">
        <f>IF(C856="","",IFERROR(INDEX(Lists!$C$2:$C$17,MATCH(C856,Lists!$A$2:$A$17,0)),"?"))</f>
        <v/>
      </c>
    </row>
    <row r="857" spans="1:6" x14ac:dyDescent="0.35">
      <c r="A857" s="10"/>
      <c r="B857" s="9"/>
      <c r="C857" s="9"/>
      <c r="D857" s="9"/>
      <c r="E857" s="11"/>
      <c r="F857" s="8" t="str">
        <f>IF(C857="","",IFERROR(INDEX(Lists!$C$2:$C$17,MATCH(C857,Lists!$A$2:$A$17,0)),"?"))</f>
        <v/>
      </c>
    </row>
    <row r="858" spans="1:6" x14ac:dyDescent="0.35">
      <c r="A858" s="10"/>
      <c r="B858" s="9"/>
      <c r="C858" s="9"/>
      <c r="D858" s="9"/>
      <c r="E858" s="11"/>
      <c r="F858" s="8" t="str">
        <f>IF(C858="","",IFERROR(INDEX(Lists!$C$2:$C$17,MATCH(C858,Lists!$A$2:$A$17,0)),"?"))</f>
        <v/>
      </c>
    </row>
    <row r="859" spans="1:6" x14ac:dyDescent="0.35">
      <c r="A859" s="10"/>
      <c r="B859" s="9"/>
      <c r="C859" s="9"/>
      <c r="D859" s="9"/>
      <c r="E859" s="11"/>
      <c r="F859" s="8" t="str">
        <f>IF(C859="","",IFERROR(INDEX(Lists!$C$2:$C$17,MATCH(C859,Lists!$A$2:$A$17,0)),"?"))</f>
        <v/>
      </c>
    </row>
    <row r="860" spans="1:6" x14ac:dyDescent="0.35">
      <c r="A860" s="10"/>
      <c r="B860" s="9"/>
      <c r="C860" s="9"/>
      <c r="D860" s="9"/>
      <c r="E860" s="11"/>
      <c r="F860" s="8" t="str">
        <f>IF(C860="","",IFERROR(INDEX(Lists!$C$2:$C$17,MATCH(C860,Lists!$A$2:$A$17,0)),"?"))</f>
        <v/>
      </c>
    </row>
    <row r="861" spans="1:6" x14ac:dyDescent="0.35">
      <c r="A861" s="10"/>
      <c r="B861" s="9"/>
      <c r="C861" s="9"/>
      <c r="D861" s="9"/>
      <c r="E861" s="11"/>
      <c r="F861" s="8" t="str">
        <f>IF(C861="","",IFERROR(INDEX(Lists!$C$2:$C$17,MATCH(C861,Lists!$A$2:$A$17,0)),"?"))</f>
        <v/>
      </c>
    </row>
    <row r="862" spans="1:6" x14ac:dyDescent="0.35">
      <c r="A862" s="10"/>
      <c r="B862" s="9"/>
      <c r="C862" s="9"/>
      <c r="D862" s="9"/>
      <c r="E862" s="11"/>
      <c r="F862" s="8" t="str">
        <f>IF(C862="","",IFERROR(INDEX(Lists!$C$2:$C$17,MATCH(C862,Lists!$A$2:$A$17,0)),"?"))</f>
        <v/>
      </c>
    </row>
    <row r="863" spans="1:6" x14ac:dyDescent="0.35">
      <c r="A863" s="10"/>
      <c r="B863" s="9"/>
      <c r="C863" s="9"/>
      <c r="D863" s="9"/>
      <c r="E863" s="11"/>
      <c r="F863" s="8" t="str">
        <f>IF(C863="","",IFERROR(INDEX(Lists!$C$2:$C$17,MATCH(C863,Lists!$A$2:$A$17,0)),"?"))</f>
        <v/>
      </c>
    </row>
    <row r="864" spans="1:6" x14ac:dyDescent="0.35">
      <c r="A864" s="10"/>
      <c r="B864" s="9"/>
      <c r="C864" s="9"/>
      <c r="D864" s="9"/>
      <c r="E864" s="11"/>
      <c r="F864" s="8" t="str">
        <f>IF(C864="","",IFERROR(INDEX(Lists!$C$2:$C$17,MATCH(C864,Lists!$A$2:$A$17,0)),"?"))</f>
        <v/>
      </c>
    </row>
    <row r="865" spans="1:6" x14ac:dyDescent="0.35">
      <c r="A865" s="10"/>
      <c r="B865" s="9"/>
      <c r="C865" s="9"/>
      <c r="D865" s="9"/>
      <c r="E865" s="11"/>
      <c r="F865" s="8" t="str">
        <f>IF(C865="","",IFERROR(INDEX(Lists!$C$2:$C$17,MATCH(C865,Lists!$A$2:$A$17,0)),"?"))</f>
        <v/>
      </c>
    </row>
    <row r="866" spans="1:6" x14ac:dyDescent="0.35">
      <c r="A866" s="10"/>
      <c r="B866" s="9"/>
      <c r="C866" s="9"/>
      <c r="D866" s="9"/>
      <c r="E866" s="11"/>
      <c r="F866" s="8" t="str">
        <f>IF(C866="","",IFERROR(INDEX(Lists!$C$2:$C$17,MATCH(C866,Lists!$A$2:$A$17,0)),"?"))</f>
        <v/>
      </c>
    </row>
    <row r="867" spans="1:6" x14ac:dyDescent="0.35">
      <c r="A867" s="10"/>
      <c r="B867" s="9"/>
      <c r="C867" s="9"/>
      <c r="D867" s="9"/>
      <c r="E867" s="11"/>
      <c r="F867" s="8" t="str">
        <f>IF(C867="","",IFERROR(INDEX(Lists!$C$2:$C$17,MATCH(C867,Lists!$A$2:$A$17,0)),"?"))</f>
        <v/>
      </c>
    </row>
    <row r="868" spans="1:6" x14ac:dyDescent="0.35">
      <c r="A868" s="10"/>
      <c r="B868" s="9"/>
      <c r="C868" s="9"/>
      <c r="D868" s="9"/>
      <c r="E868" s="11"/>
      <c r="F868" s="8" t="str">
        <f>IF(C868="","",IFERROR(INDEX(Lists!$C$2:$C$17,MATCH(C868,Lists!$A$2:$A$17,0)),"?"))</f>
        <v/>
      </c>
    </row>
    <row r="869" spans="1:6" x14ac:dyDescent="0.35">
      <c r="A869" s="10"/>
      <c r="B869" s="9"/>
      <c r="C869" s="9"/>
      <c r="D869" s="9"/>
      <c r="E869" s="11"/>
      <c r="F869" s="8" t="str">
        <f>IF(C869="","",IFERROR(INDEX(Lists!$C$2:$C$17,MATCH(C869,Lists!$A$2:$A$17,0)),"?"))</f>
        <v/>
      </c>
    </row>
    <row r="870" spans="1:6" x14ac:dyDescent="0.35">
      <c r="A870" s="10"/>
      <c r="B870" s="9"/>
      <c r="C870" s="9"/>
      <c r="D870" s="9"/>
      <c r="E870" s="11"/>
      <c r="F870" s="8" t="str">
        <f>IF(C870="","",IFERROR(INDEX(Lists!$C$2:$C$17,MATCH(C870,Lists!$A$2:$A$17,0)),"?"))</f>
        <v/>
      </c>
    </row>
    <row r="871" spans="1:6" x14ac:dyDescent="0.35">
      <c r="A871" s="10"/>
      <c r="B871" s="9"/>
      <c r="C871" s="9"/>
      <c r="D871" s="9"/>
      <c r="E871" s="11"/>
      <c r="F871" s="8" t="str">
        <f>IF(C871="","",IFERROR(INDEX(Lists!$C$2:$C$17,MATCH(C871,Lists!$A$2:$A$17,0)),"?"))</f>
        <v/>
      </c>
    </row>
    <row r="872" spans="1:6" x14ac:dyDescent="0.35">
      <c r="A872" s="10"/>
      <c r="B872" s="9"/>
      <c r="C872" s="9"/>
      <c r="D872" s="9"/>
      <c r="E872" s="11"/>
      <c r="F872" s="8" t="str">
        <f>IF(C872="","",IFERROR(INDEX(Lists!$C$2:$C$17,MATCH(C872,Lists!$A$2:$A$17,0)),"?"))</f>
        <v/>
      </c>
    </row>
    <row r="873" spans="1:6" x14ac:dyDescent="0.35">
      <c r="A873" s="10"/>
      <c r="B873" s="9"/>
      <c r="C873" s="9"/>
      <c r="D873" s="9"/>
      <c r="E873" s="11"/>
      <c r="F873" s="8" t="str">
        <f>IF(C873="","",IFERROR(INDEX(Lists!$C$2:$C$17,MATCH(C873,Lists!$A$2:$A$17,0)),"?"))</f>
        <v/>
      </c>
    </row>
    <row r="874" spans="1:6" x14ac:dyDescent="0.35">
      <c r="A874" s="10"/>
      <c r="B874" s="9"/>
      <c r="C874" s="9"/>
      <c r="D874" s="9"/>
      <c r="E874" s="11"/>
      <c r="F874" s="8" t="str">
        <f>IF(C874="","",IFERROR(INDEX(Lists!$C$2:$C$17,MATCH(C874,Lists!$A$2:$A$17,0)),"?"))</f>
        <v/>
      </c>
    </row>
    <row r="875" spans="1:6" x14ac:dyDescent="0.35">
      <c r="A875" s="10"/>
      <c r="B875" s="9"/>
      <c r="C875" s="9"/>
      <c r="D875" s="9"/>
      <c r="E875" s="11"/>
      <c r="F875" s="8" t="str">
        <f>IF(C875="","",IFERROR(INDEX(Lists!$C$2:$C$17,MATCH(C875,Lists!$A$2:$A$17,0)),"?"))</f>
        <v/>
      </c>
    </row>
    <row r="876" spans="1:6" x14ac:dyDescent="0.35">
      <c r="A876" s="10"/>
      <c r="B876" s="9"/>
      <c r="C876" s="9"/>
      <c r="D876" s="9"/>
      <c r="E876" s="11"/>
      <c r="F876" s="8" t="str">
        <f>IF(C876="","",IFERROR(INDEX(Lists!$C$2:$C$17,MATCH(C876,Lists!$A$2:$A$17,0)),"?"))</f>
        <v/>
      </c>
    </row>
    <row r="877" spans="1:6" x14ac:dyDescent="0.35">
      <c r="A877" s="10"/>
      <c r="B877" s="9"/>
      <c r="C877" s="9"/>
      <c r="D877" s="9"/>
      <c r="E877" s="11"/>
      <c r="F877" s="8" t="str">
        <f>IF(C877="","",IFERROR(INDEX(Lists!$C$2:$C$17,MATCH(C877,Lists!$A$2:$A$17,0)),"?"))</f>
        <v/>
      </c>
    </row>
    <row r="878" spans="1:6" x14ac:dyDescent="0.35">
      <c r="A878" s="10"/>
      <c r="B878" s="9"/>
      <c r="C878" s="9"/>
      <c r="D878" s="9"/>
      <c r="E878" s="11"/>
      <c r="F878" s="8" t="str">
        <f>IF(C878="","",IFERROR(INDEX(Lists!$C$2:$C$17,MATCH(C878,Lists!$A$2:$A$17,0)),"?"))</f>
        <v/>
      </c>
    </row>
    <row r="879" spans="1:6" x14ac:dyDescent="0.35">
      <c r="A879" s="10"/>
      <c r="B879" s="9"/>
      <c r="C879" s="9"/>
      <c r="D879" s="9"/>
      <c r="E879" s="11"/>
      <c r="F879" s="8" t="str">
        <f>IF(C879="","",IFERROR(INDEX(Lists!$C$2:$C$17,MATCH(C879,Lists!$A$2:$A$17,0)),"?"))</f>
        <v/>
      </c>
    </row>
    <row r="880" spans="1:6" x14ac:dyDescent="0.35">
      <c r="A880" s="10"/>
      <c r="B880" s="9"/>
      <c r="C880" s="9"/>
      <c r="D880" s="9"/>
      <c r="E880" s="11"/>
      <c r="F880" s="8" t="str">
        <f>IF(C880="","",IFERROR(INDEX(Lists!$C$2:$C$17,MATCH(C880,Lists!$A$2:$A$17,0)),"?"))</f>
        <v/>
      </c>
    </row>
    <row r="881" spans="1:6" x14ac:dyDescent="0.35">
      <c r="A881" s="10"/>
      <c r="B881" s="9"/>
      <c r="C881" s="9"/>
      <c r="D881" s="9"/>
      <c r="E881" s="11"/>
      <c r="F881" s="8" t="str">
        <f>IF(C881="","",IFERROR(INDEX(Lists!$C$2:$C$17,MATCH(C881,Lists!$A$2:$A$17,0)),"?"))</f>
        <v/>
      </c>
    </row>
    <row r="882" spans="1:6" x14ac:dyDescent="0.35">
      <c r="A882" s="10"/>
      <c r="B882" s="9"/>
      <c r="C882" s="9"/>
      <c r="D882" s="9"/>
      <c r="E882" s="11"/>
      <c r="F882" s="8" t="str">
        <f>IF(C882="","",IFERROR(INDEX(Lists!$C$2:$C$17,MATCH(C882,Lists!$A$2:$A$17,0)),"?"))</f>
        <v/>
      </c>
    </row>
    <row r="883" spans="1:6" x14ac:dyDescent="0.35">
      <c r="A883" s="10"/>
      <c r="B883" s="9"/>
      <c r="C883" s="9"/>
      <c r="D883" s="9"/>
      <c r="E883" s="11"/>
      <c r="F883" s="8" t="str">
        <f>IF(C883="","",IFERROR(INDEX(Lists!$C$2:$C$17,MATCH(C883,Lists!$A$2:$A$17,0)),"?"))</f>
        <v/>
      </c>
    </row>
    <row r="884" spans="1:6" x14ac:dyDescent="0.35">
      <c r="A884" s="10"/>
      <c r="B884" s="9"/>
      <c r="C884" s="9"/>
      <c r="D884" s="9"/>
      <c r="E884" s="11"/>
      <c r="F884" s="8" t="str">
        <f>IF(C884="","",IFERROR(INDEX(Lists!$C$2:$C$17,MATCH(C884,Lists!$A$2:$A$17,0)),"?"))</f>
        <v/>
      </c>
    </row>
    <row r="885" spans="1:6" x14ac:dyDescent="0.35">
      <c r="A885" s="10"/>
      <c r="B885" s="9"/>
      <c r="C885" s="9"/>
      <c r="D885" s="9"/>
      <c r="E885" s="11"/>
      <c r="F885" s="8" t="str">
        <f>IF(C885="","",IFERROR(INDEX(Lists!$C$2:$C$17,MATCH(C885,Lists!$A$2:$A$17,0)),"?"))</f>
        <v/>
      </c>
    </row>
    <row r="886" spans="1:6" x14ac:dyDescent="0.35">
      <c r="A886" s="10"/>
      <c r="B886" s="9"/>
      <c r="C886" s="9"/>
      <c r="D886" s="9"/>
      <c r="E886" s="11"/>
      <c r="F886" s="8" t="str">
        <f>IF(C886="","",IFERROR(INDEX(Lists!$C$2:$C$17,MATCH(C886,Lists!$A$2:$A$17,0)),"?"))</f>
        <v/>
      </c>
    </row>
    <row r="887" spans="1:6" x14ac:dyDescent="0.35">
      <c r="A887" s="10"/>
      <c r="B887" s="9"/>
      <c r="C887" s="9"/>
      <c r="D887" s="9"/>
      <c r="E887" s="11"/>
      <c r="F887" s="8" t="str">
        <f>IF(C887="","",IFERROR(INDEX(Lists!$C$2:$C$17,MATCH(C887,Lists!$A$2:$A$17,0)),"?"))</f>
        <v/>
      </c>
    </row>
    <row r="888" spans="1:6" x14ac:dyDescent="0.35">
      <c r="A888" s="10"/>
      <c r="B888" s="9"/>
      <c r="C888" s="9"/>
      <c r="D888" s="9"/>
      <c r="E888" s="11"/>
      <c r="F888" s="8" t="str">
        <f>IF(C888="","",IFERROR(INDEX(Lists!$C$2:$C$17,MATCH(C888,Lists!$A$2:$A$17,0)),"?"))</f>
        <v/>
      </c>
    </row>
    <row r="889" spans="1:6" x14ac:dyDescent="0.35">
      <c r="A889" s="10"/>
      <c r="B889" s="9"/>
      <c r="C889" s="9"/>
      <c r="D889" s="9"/>
      <c r="E889" s="11"/>
      <c r="F889" s="8" t="str">
        <f>IF(C889="","",IFERROR(INDEX(Lists!$C$2:$C$17,MATCH(C889,Lists!$A$2:$A$17,0)),"?"))</f>
        <v/>
      </c>
    </row>
    <row r="890" spans="1:6" x14ac:dyDescent="0.35">
      <c r="A890" s="10"/>
      <c r="B890" s="9"/>
      <c r="C890" s="9"/>
      <c r="D890" s="9"/>
      <c r="E890" s="11"/>
      <c r="F890" s="8" t="str">
        <f>IF(C890="","",IFERROR(INDEX(Lists!$C$2:$C$17,MATCH(C890,Lists!$A$2:$A$17,0)),"?"))</f>
        <v/>
      </c>
    </row>
    <row r="891" spans="1:6" x14ac:dyDescent="0.35">
      <c r="A891" s="10"/>
      <c r="B891" s="9"/>
      <c r="C891" s="9"/>
      <c r="D891" s="9"/>
      <c r="E891" s="11"/>
      <c r="F891" s="8" t="str">
        <f>IF(C891="","",IFERROR(INDEX(Lists!$C$2:$C$17,MATCH(C891,Lists!$A$2:$A$17,0)),"?"))</f>
        <v/>
      </c>
    </row>
    <row r="892" spans="1:6" x14ac:dyDescent="0.35">
      <c r="A892" s="10"/>
      <c r="B892" s="9"/>
      <c r="C892" s="9"/>
      <c r="D892" s="9"/>
      <c r="E892" s="11"/>
      <c r="F892" s="8" t="str">
        <f>IF(C892="","",IFERROR(INDEX(Lists!$C$2:$C$17,MATCH(C892,Lists!$A$2:$A$17,0)),"?"))</f>
        <v/>
      </c>
    </row>
    <row r="893" spans="1:6" x14ac:dyDescent="0.35">
      <c r="A893" s="10"/>
      <c r="B893" s="9"/>
      <c r="C893" s="9"/>
      <c r="D893" s="9"/>
      <c r="E893" s="11"/>
      <c r="F893" s="8" t="str">
        <f>IF(C893="","",IFERROR(INDEX(Lists!$C$2:$C$17,MATCH(C893,Lists!$A$2:$A$17,0)),"?"))</f>
        <v/>
      </c>
    </row>
    <row r="894" spans="1:6" x14ac:dyDescent="0.35">
      <c r="A894" s="10"/>
      <c r="B894" s="9"/>
      <c r="C894" s="9"/>
      <c r="D894" s="9"/>
      <c r="E894" s="11"/>
      <c r="F894" s="8" t="str">
        <f>IF(C894="","",IFERROR(INDEX(Lists!$C$2:$C$17,MATCH(C894,Lists!$A$2:$A$17,0)),"?"))</f>
        <v/>
      </c>
    </row>
    <row r="895" spans="1:6" x14ac:dyDescent="0.35">
      <c r="A895" s="10"/>
      <c r="B895" s="9"/>
      <c r="C895" s="9"/>
      <c r="D895" s="9"/>
      <c r="E895" s="11"/>
      <c r="F895" s="8" t="str">
        <f>IF(C895="","",IFERROR(INDEX(Lists!$C$2:$C$17,MATCH(C895,Lists!$A$2:$A$17,0)),"?"))</f>
        <v/>
      </c>
    </row>
    <row r="896" spans="1:6" x14ac:dyDescent="0.35">
      <c r="A896" s="10"/>
      <c r="B896" s="9"/>
      <c r="C896" s="9"/>
      <c r="D896" s="9"/>
      <c r="E896" s="11"/>
      <c r="F896" s="8" t="str">
        <f>IF(C896="","",IFERROR(INDEX(Lists!$C$2:$C$17,MATCH(C896,Lists!$A$2:$A$17,0)),"?"))</f>
        <v/>
      </c>
    </row>
    <row r="897" spans="1:6" x14ac:dyDescent="0.35">
      <c r="A897" s="10"/>
      <c r="B897" s="9"/>
      <c r="C897" s="9"/>
      <c r="D897" s="9"/>
      <c r="E897" s="11"/>
      <c r="F897" s="8" t="str">
        <f>IF(C897="","",IFERROR(INDEX(Lists!$C$2:$C$17,MATCH(C897,Lists!$A$2:$A$17,0)),"?"))</f>
        <v/>
      </c>
    </row>
    <row r="898" spans="1:6" x14ac:dyDescent="0.35">
      <c r="A898" s="10"/>
      <c r="B898" s="9"/>
      <c r="C898" s="9"/>
      <c r="D898" s="9"/>
      <c r="E898" s="11"/>
      <c r="F898" s="8" t="str">
        <f>IF(C898="","",IFERROR(INDEX(Lists!$C$2:$C$17,MATCH(C898,Lists!$A$2:$A$17,0)),"?"))</f>
        <v/>
      </c>
    </row>
    <row r="899" spans="1:6" x14ac:dyDescent="0.35">
      <c r="A899" s="10"/>
      <c r="B899" s="9"/>
      <c r="C899" s="9"/>
      <c r="D899" s="9"/>
      <c r="E899" s="11"/>
      <c r="F899" s="8" t="str">
        <f>IF(C899="","",IFERROR(INDEX(Lists!$C$2:$C$17,MATCH(C899,Lists!$A$2:$A$17,0)),"?"))</f>
        <v/>
      </c>
    </row>
    <row r="900" spans="1:6" x14ac:dyDescent="0.35">
      <c r="A900" s="10"/>
      <c r="B900" s="9"/>
      <c r="C900" s="9"/>
      <c r="D900" s="9"/>
      <c r="E900" s="11"/>
      <c r="F900" s="8" t="str">
        <f>IF(C900="","",IFERROR(INDEX(Lists!$C$2:$C$17,MATCH(C900,Lists!$A$2:$A$17,0)),"?"))</f>
        <v/>
      </c>
    </row>
    <row r="901" spans="1:6" x14ac:dyDescent="0.35">
      <c r="A901" s="10"/>
      <c r="B901" s="9"/>
      <c r="C901" s="9"/>
      <c r="D901" s="9"/>
      <c r="E901" s="11"/>
      <c r="F901" s="8" t="str">
        <f>IF(C901="","",IFERROR(INDEX(Lists!$C$2:$C$17,MATCH(C901,Lists!$A$2:$A$17,0)),"?"))</f>
        <v/>
      </c>
    </row>
    <row r="902" spans="1:6" x14ac:dyDescent="0.35">
      <c r="A902" s="10"/>
      <c r="B902" s="9"/>
      <c r="C902" s="9"/>
      <c r="D902" s="9"/>
      <c r="E902" s="11"/>
      <c r="F902" s="8" t="str">
        <f>IF(C902="","",IFERROR(INDEX(Lists!$C$2:$C$17,MATCH(C902,Lists!$A$2:$A$17,0)),"?"))</f>
        <v/>
      </c>
    </row>
    <row r="903" spans="1:6" x14ac:dyDescent="0.35">
      <c r="A903" s="10"/>
      <c r="B903" s="9"/>
      <c r="C903" s="9"/>
      <c r="D903" s="9"/>
      <c r="E903" s="11"/>
      <c r="F903" s="8" t="str">
        <f>IF(C903="","",IFERROR(INDEX(Lists!$C$2:$C$17,MATCH(C903,Lists!$A$2:$A$17,0)),"?"))</f>
        <v/>
      </c>
    </row>
    <row r="904" spans="1:6" x14ac:dyDescent="0.35">
      <c r="A904" s="10"/>
      <c r="B904" s="9"/>
      <c r="C904" s="9"/>
      <c r="D904" s="9"/>
      <c r="E904" s="11"/>
      <c r="F904" s="8" t="str">
        <f>IF(C904="","",IFERROR(INDEX(Lists!$C$2:$C$17,MATCH(C904,Lists!$A$2:$A$17,0)),"?"))</f>
        <v/>
      </c>
    </row>
    <row r="905" spans="1:6" x14ac:dyDescent="0.35">
      <c r="A905" s="10"/>
      <c r="B905" s="9"/>
      <c r="C905" s="9"/>
      <c r="D905" s="9"/>
      <c r="E905" s="11"/>
      <c r="F905" s="8" t="str">
        <f>IF(C905="","",IFERROR(INDEX(Lists!$C$2:$C$17,MATCH(C905,Lists!$A$2:$A$17,0)),"?"))</f>
        <v/>
      </c>
    </row>
    <row r="906" spans="1:6" x14ac:dyDescent="0.35">
      <c r="A906" s="10"/>
      <c r="B906" s="9"/>
      <c r="C906" s="9"/>
      <c r="D906" s="9"/>
      <c r="E906" s="11"/>
      <c r="F906" s="8" t="str">
        <f>IF(C906="","",IFERROR(INDEX(Lists!$C$2:$C$17,MATCH(C906,Lists!$A$2:$A$17,0)),"?"))</f>
        <v/>
      </c>
    </row>
    <row r="907" spans="1:6" x14ac:dyDescent="0.35">
      <c r="A907" s="10"/>
      <c r="B907" s="9"/>
      <c r="C907" s="9"/>
      <c r="D907" s="9"/>
      <c r="E907" s="11"/>
      <c r="F907" s="8" t="str">
        <f>IF(C907="","",IFERROR(INDEX(Lists!$C$2:$C$17,MATCH(C907,Lists!$A$2:$A$17,0)),"?"))</f>
        <v/>
      </c>
    </row>
    <row r="908" spans="1:6" x14ac:dyDescent="0.35">
      <c r="A908" s="10"/>
      <c r="B908" s="9"/>
      <c r="C908" s="9"/>
      <c r="D908" s="9"/>
      <c r="E908" s="11"/>
      <c r="F908" s="8" t="str">
        <f>IF(C908="","",IFERROR(INDEX(Lists!$C$2:$C$17,MATCH(C908,Lists!$A$2:$A$17,0)),"?"))</f>
        <v/>
      </c>
    </row>
    <row r="909" spans="1:6" x14ac:dyDescent="0.35">
      <c r="A909" s="10"/>
      <c r="B909" s="9"/>
      <c r="C909" s="9"/>
      <c r="D909" s="9"/>
      <c r="E909" s="11"/>
      <c r="F909" s="8" t="str">
        <f>IF(C909="","",IFERROR(INDEX(Lists!$C$2:$C$17,MATCH(C909,Lists!$A$2:$A$17,0)),"?"))</f>
        <v/>
      </c>
    </row>
    <row r="910" spans="1:6" x14ac:dyDescent="0.35">
      <c r="A910" s="10"/>
      <c r="B910" s="9"/>
      <c r="C910" s="9"/>
      <c r="D910" s="9"/>
      <c r="E910" s="11"/>
      <c r="F910" s="8" t="str">
        <f>IF(C910="","",IFERROR(INDEX(Lists!$C$2:$C$17,MATCH(C910,Lists!$A$2:$A$17,0)),"?"))</f>
        <v/>
      </c>
    </row>
    <row r="911" spans="1:6" x14ac:dyDescent="0.35">
      <c r="A911" s="10"/>
      <c r="B911" s="9"/>
      <c r="C911" s="9"/>
      <c r="D911" s="9"/>
      <c r="E911" s="11"/>
      <c r="F911" s="8" t="str">
        <f>IF(C911="","",IFERROR(INDEX(Lists!$C$2:$C$17,MATCH(C911,Lists!$A$2:$A$17,0)),"?"))</f>
        <v/>
      </c>
    </row>
    <row r="912" spans="1:6" x14ac:dyDescent="0.35">
      <c r="A912" s="10"/>
      <c r="B912" s="9"/>
      <c r="C912" s="9"/>
      <c r="D912" s="9"/>
      <c r="E912" s="11"/>
      <c r="F912" s="8" t="str">
        <f>IF(C912="","",IFERROR(INDEX(Lists!$C$2:$C$17,MATCH(C912,Lists!$A$2:$A$17,0)),"?"))</f>
        <v/>
      </c>
    </row>
    <row r="913" spans="1:6" x14ac:dyDescent="0.35">
      <c r="A913" s="10"/>
      <c r="B913" s="9"/>
      <c r="C913" s="9"/>
      <c r="D913" s="9"/>
      <c r="E913" s="11"/>
      <c r="F913" s="8" t="str">
        <f>IF(C913="","",IFERROR(INDEX(Lists!$C$2:$C$17,MATCH(C913,Lists!$A$2:$A$17,0)),"?"))</f>
        <v/>
      </c>
    </row>
    <row r="914" spans="1:6" x14ac:dyDescent="0.35">
      <c r="A914" s="10"/>
      <c r="B914" s="9"/>
      <c r="C914" s="9"/>
      <c r="D914" s="9"/>
      <c r="E914" s="11"/>
      <c r="F914" s="8" t="str">
        <f>IF(C914="","",IFERROR(INDEX(Lists!$C$2:$C$17,MATCH(C914,Lists!$A$2:$A$17,0)),"?"))</f>
        <v/>
      </c>
    </row>
    <row r="915" spans="1:6" x14ac:dyDescent="0.35">
      <c r="A915" s="10"/>
      <c r="B915" s="9"/>
      <c r="C915" s="9"/>
      <c r="D915" s="9"/>
      <c r="E915" s="11"/>
      <c r="F915" s="8" t="str">
        <f>IF(C915="","",IFERROR(INDEX(Lists!$C$2:$C$17,MATCH(C915,Lists!$A$2:$A$17,0)),"?"))</f>
        <v/>
      </c>
    </row>
    <row r="916" spans="1:6" x14ac:dyDescent="0.35">
      <c r="A916" s="10"/>
      <c r="B916" s="9"/>
      <c r="C916" s="9"/>
      <c r="D916" s="9"/>
      <c r="E916" s="11"/>
      <c r="F916" s="8" t="str">
        <f>IF(C916="","",IFERROR(INDEX(Lists!$C$2:$C$17,MATCH(C916,Lists!$A$2:$A$17,0)),"?"))</f>
        <v/>
      </c>
    </row>
    <row r="917" spans="1:6" x14ac:dyDescent="0.35">
      <c r="A917" s="10"/>
      <c r="B917" s="9"/>
      <c r="C917" s="9"/>
      <c r="D917" s="9"/>
      <c r="E917" s="11"/>
      <c r="F917" s="8" t="str">
        <f>IF(C917="","",IFERROR(INDEX(Lists!$C$2:$C$17,MATCH(C917,Lists!$A$2:$A$17,0)),"?"))</f>
        <v/>
      </c>
    </row>
    <row r="918" spans="1:6" x14ac:dyDescent="0.35">
      <c r="A918" s="10"/>
      <c r="B918" s="9"/>
      <c r="C918" s="9"/>
      <c r="D918" s="9"/>
      <c r="E918" s="11"/>
      <c r="F918" s="8" t="str">
        <f>IF(C918="","",IFERROR(INDEX(Lists!$C$2:$C$17,MATCH(C918,Lists!$A$2:$A$17,0)),"?"))</f>
        <v/>
      </c>
    </row>
    <row r="919" spans="1:6" x14ac:dyDescent="0.35">
      <c r="A919" s="10"/>
      <c r="B919" s="9"/>
      <c r="C919" s="9"/>
      <c r="D919" s="9"/>
      <c r="E919" s="11"/>
      <c r="F919" s="8" t="str">
        <f>IF(C919="","",IFERROR(INDEX(Lists!$C$2:$C$17,MATCH(C919,Lists!$A$2:$A$17,0)),"?"))</f>
        <v/>
      </c>
    </row>
    <row r="920" spans="1:6" x14ac:dyDescent="0.35">
      <c r="A920" s="10"/>
      <c r="B920" s="9"/>
      <c r="C920" s="9"/>
      <c r="D920" s="9"/>
      <c r="E920" s="11"/>
      <c r="F920" s="8" t="str">
        <f>IF(C920="","",IFERROR(INDEX(Lists!$C$2:$C$17,MATCH(C920,Lists!$A$2:$A$17,0)),"?"))</f>
        <v/>
      </c>
    </row>
    <row r="921" spans="1:6" x14ac:dyDescent="0.35">
      <c r="A921" s="10"/>
      <c r="B921" s="9"/>
      <c r="C921" s="9"/>
      <c r="D921" s="9"/>
      <c r="E921" s="11"/>
      <c r="F921" s="8" t="str">
        <f>IF(C921="","",IFERROR(INDEX(Lists!$C$2:$C$17,MATCH(C921,Lists!$A$2:$A$17,0)),"?"))</f>
        <v/>
      </c>
    </row>
    <row r="922" spans="1:6" x14ac:dyDescent="0.35">
      <c r="A922" s="10"/>
      <c r="B922" s="9"/>
      <c r="C922" s="9"/>
      <c r="D922" s="9"/>
      <c r="E922" s="11"/>
      <c r="F922" s="8" t="str">
        <f>IF(C922="","",IFERROR(INDEX(Lists!$C$2:$C$17,MATCH(C922,Lists!$A$2:$A$17,0)),"?"))</f>
        <v/>
      </c>
    </row>
    <row r="923" spans="1:6" x14ac:dyDescent="0.35">
      <c r="A923" s="10"/>
      <c r="B923" s="9"/>
      <c r="C923" s="9"/>
      <c r="D923" s="9"/>
      <c r="E923" s="11"/>
      <c r="F923" s="8" t="str">
        <f>IF(C923="","",IFERROR(INDEX(Lists!$C$2:$C$17,MATCH(C923,Lists!$A$2:$A$17,0)),"?"))</f>
        <v/>
      </c>
    </row>
    <row r="924" spans="1:6" x14ac:dyDescent="0.35">
      <c r="A924" s="10"/>
      <c r="B924" s="9"/>
      <c r="C924" s="9"/>
      <c r="D924" s="9"/>
      <c r="E924" s="11"/>
      <c r="F924" s="8" t="str">
        <f>IF(C924="","",IFERROR(INDEX(Lists!$C$2:$C$17,MATCH(C924,Lists!$A$2:$A$17,0)),"?"))</f>
        <v/>
      </c>
    </row>
    <row r="925" spans="1:6" x14ac:dyDescent="0.35">
      <c r="A925" s="10"/>
      <c r="B925" s="9"/>
      <c r="C925" s="9"/>
      <c r="D925" s="9"/>
      <c r="E925" s="11"/>
      <c r="F925" s="8" t="str">
        <f>IF(C925="","",IFERROR(INDEX(Lists!$C$2:$C$17,MATCH(C925,Lists!$A$2:$A$17,0)),"?"))</f>
        <v/>
      </c>
    </row>
    <row r="926" spans="1:6" x14ac:dyDescent="0.35">
      <c r="A926" s="10"/>
      <c r="B926" s="9"/>
      <c r="C926" s="9"/>
      <c r="D926" s="9"/>
      <c r="E926" s="11"/>
      <c r="F926" s="8" t="str">
        <f>IF(C926="","",IFERROR(INDEX(Lists!$C$2:$C$17,MATCH(C926,Lists!$A$2:$A$17,0)),"?"))</f>
        <v/>
      </c>
    </row>
    <row r="927" spans="1:6" x14ac:dyDescent="0.35">
      <c r="A927" s="10"/>
      <c r="B927" s="9"/>
      <c r="C927" s="9"/>
      <c r="D927" s="9"/>
      <c r="E927" s="11"/>
      <c r="F927" s="8" t="str">
        <f>IF(C927="","",IFERROR(INDEX(Lists!$C$2:$C$17,MATCH(C927,Lists!$A$2:$A$17,0)),"?"))</f>
        <v/>
      </c>
    </row>
    <row r="928" spans="1:6" x14ac:dyDescent="0.35">
      <c r="A928" s="10"/>
      <c r="B928" s="9"/>
      <c r="C928" s="9"/>
      <c r="D928" s="9"/>
      <c r="E928" s="11"/>
      <c r="F928" s="8" t="str">
        <f>IF(C928="","",IFERROR(INDEX(Lists!$C$2:$C$17,MATCH(C928,Lists!$A$2:$A$17,0)),"?"))</f>
        <v/>
      </c>
    </row>
    <row r="929" spans="1:6" x14ac:dyDescent="0.35">
      <c r="A929" s="10"/>
      <c r="B929" s="9"/>
      <c r="C929" s="9"/>
      <c r="D929" s="9"/>
      <c r="E929" s="11"/>
      <c r="F929" s="8" t="str">
        <f>IF(C929="","",IFERROR(INDEX(Lists!$C$2:$C$17,MATCH(C929,Lists!$A$2:$A$17,0)),"?"))</f>
        <v/>
      </c>
    </row>
    <row r="930" spans="1:6" x14ac:dyDescent="0.35">
      <c r="A930" s="10"/>
      <c r="B930" s="9"/>
      <c r="C930" s="9"/>
      <c r="D930" s="9"/>
      <c r="E930" s="11"/>
      <c r="F930" s="8" t="str">
        <f>IF(C930="","",IFERROR(INDEX(Lists!$C$2:$C$17,MATCH(C930,Lists!$A$2:$A$17,0)),"?"))</f>
        <v/>
      </c>
    </row>
    <row r="931" spans="1:6" x14ac:dyDescent="0.35">
      <c r="A931" s="10"/>
      <c r="B931" s="9"/>
      <c r="C931" s="9"/>
      <c r="D931" s="9"/>
      <c r="E931" s="11"/>
      <c r="F931" s="8" t="str">
        <f>IF(C931="","",IFERROR(INDEX(Lists!$C$2:$C$17,MATCH(C931,Lists!$A$2:$A$17,0)),"?"))</f>
        <v/>
      </c>
    </row>
    <row r="932" spans="1:6" x14ac:dyDescent="0.35">
      <c r="A932" s="10"/>
      <c r="B932" s="9"/>
      <c r="C932" s="9"/>
      <c r="D932" s="9"/>
      <c r="E932" s="11"/>
      <c r="F932" s="8" t="str">
        <f>IF(C932="","",IFERROR(INDEX(Lists!$C$2:$C$17,MATCH(C932,Lists!$A$2:$A$17,0)),"?"))</f>
        <v/>
      </c>
    </row>
    <row r="933" spans="1:6" x14ac:dyDescent="0.35">
      <c r="A933" s="10"/>
      <c r="B933" s="9"/>
      <c r="C933" s="9"/>
      <c r="D933" s="9"/>
      <c r="E933" s="11"/>
      <c r="F933" s="8" t="str">
        <f>IF(C933="","",IFERROR(INDEX(Lists!$C$2:$C$17,MATCH(C933,Lists!$A$2:$A$17,0)),"?"))</f>
        <v/>
      </c>
    </row>
    <row r="934" spans="1:6" x14ac:dyDescent="0.35">
      <c r="A934" s="10"/>
      <c r="B934" s="9"/>
      <c r="C934" s="9"/>
      <c r="D934" s="9"/>
      <c r="E934" s="11"/>
      <c r="F934" s="8" t="str">
        <f>IF(C934="","",IFERROR(INDEX(Lists!$C$2:$C$17,MATCH(C934,Lists!$A$2:$A$17,0)),"?"))</f>
        <v/>
      </c>
    </row>
    <row r="935" spans="1:6" x14ac:dyDescent="0.35">
      <c r="A935" s="10"/>
      <c r="B935" s="9"/>
      <c r="C935" s="9"/>
      <c r="D935" s="9"/>
      <c r="E935" s="11"/>
      <c r="F935" s="8" t="str">
        <f>IF(C935="","",IFERROR(INDEX(Lists!$C$2:$C$17,MATCH(C935,Lists!$A$2:$A$17,0)),"?"))</f>
        <v/>
      </c>
    </row>
    <row r="936" spans="1:6" x14ac:dyDescent="0.35">
      <c r="A936" s="10"/>
      <c r="B936" s="9"/>
      <c r="C936" s="9"/>
      <c r="D936" s="9"/>
      <c r="E936" s="11"/>
      <c r="F936" s="8" t="str">
        <f>IF(C936="","",IFERROR(INDEX(Lists!$C$2:$C$17,MATCH(C936,Lists!$A$2:$A$17,0)),"?"))</f>
        <v/>
      </c>
    </row>
    <row r="937" spans="1:6" x14ac:dyDescent="0.35">
      <c r="A937" s="10"/>
      <c r="B937" s="9"/>
      <c r="C937" s="9"/>
      <c r="D937" s="9"/>
      <c r="E937" s="11"/>
      <c r="F937" s="8" t="str">
        <f>IF(C937="","",IFERROR(INDEX(Lists!$C$2:$C$17,MATCH(C937,Lists!$A$2:$A$17,0)),"?"))</f>
        <v/>
      </c>
    </row>
    <row r="938" spans="1:6" x14ac:dyDescent="0.35">
      <c r="A938" s="10"/>
      <c r="B938" s="9"/>
      <c r="C938" s="9"/>
      <c r="D938" s="9"/>
      <c r="E938" s="11"/>
      <c r="F938" s="8" t="str">
        <f>IF(C938="","",IFERROR(INDEX(Lists!$C$2:$C$17,MATCH(C938,Lists!$A$2:$A$17,0)),"?"))</f>
        <v/>
      </c>
    </row>
    <row r="939" spans="1:6" x14ac:dyDescent="0.35">
      <c r="A939" s="10"/>
      <c r="B939" s="9"/>
      <c r="C939" s="9"/>
      <c r="D939" s="9"/>
      <c r="E939" s="11"/>
      <c r="F939" s="8" t="str">
        <f>IF(C939="","",IFERROR(INDEX(Lists!$C$2:$C$17,MATCH(C939,Lists!$A$2:$A$17,0)),"?"))</f>
        <v/>
      </c>
    </row>
    <row r="940" spans="1:6" x14ac:dyDescent="0.35">
      <c r="A940" s="10"/>
      <c r="B940" s="9"/>
      <c r="C940" s="9"/>
      <c r="D940" s="9"/>
      <c r="E940" s="11"/>
      <c r="F940" s="8" t="str">
        <f>IF(C940="","",IFERROR(INDEX(Lists!$C$2:$C$17,MATCH(C940,Lists!$A$2:$A$17,0)),"?"))</f>
        <v/>
      </c>
    </row>
    <row r="941" spans="1:6" x14ac:dyDescent="0.35">
      <c r="A941" s="10"/>
      <c r="B941" s="9"/>
      <c r="C941" s="9"/>
      <c r="D941" s="9"/>
      <c r="E941" s="11"/>
      <c r="F941" s="8" t="str">
        <f>IF(C941="","",IFERROR(INDEX(Lists!$C$2:$C$17,MATCH(C941,Lists!$A$2:$A$17,0)),"?"))</f>
        <v/>
      </c>
    </row>
    <row r="942" spans="1:6" x14ac:dyDescent="0.35">
      <c r="A942" s="10"/>
      <c r="B942" s="9"/>
      <c r="C942" s="9"/>
      <c r="D942" s="9"/>
      <c r="E942" s="11"/>
      <c r="F942" s="8" t="str">
        <f>IF(C942="","",IFERROR(INDEX(Lists!$C$2:$C$17,MATCH(C942,Lists!$A$2:$A$17,0)),"?"))</f>
        <v/>
      </c>
    </row>
    <row r="943" spans="1:6" x14ac:dyDescent="0.35">
      <c r="A943" s="10"/>
      <c r="B943" s="9"/>
      <c r="C943" s="9"/>
      <c r="D943" s="9"/>
      <c r="E943" s="11"/>
      <c r="F943" s="8" t="str">
        <f>IF(C943="","",IFERROR(INDEX(Lists!$C$2:$C$17,MATCH(C943,Lists!$A$2:$A$17,0)),"?"))</f>
        <v/>
      </c>
    </row>
    <row r="944" spans="1:6" x14ac:dyDescent="0.35">
      <c r="A944" s="10"/>
      <c r="B944" s="9"/>
      <c r="C944" s="9"/>
      <c r="D944" s="9"/>
      <c r="E944" s="11"/>
      <c r="F944" s="8" t="str">
        <f>IF(C944="","",IFERROR(INDEX(Lists!$C$2:$C$17,MATCH(C944,Lists!$A$2:$A$17,0)),"?"))</f>
        <v/>
      </c>
    </row>
    <row r="945" spans="1:6" x14ac:dyDescent="0.35">
      <c r="A945" s="10"/>
      <c r="B945" s="9"/>
      <c r="C945" s="9"/>
      <c r="D945" s="9"/>
      <c r="E945" s="11"/>
      <c r="F945" s="8" t="str">
        <f>IF(C945="","",IFERROR(INDEX(Lists!$C$2:$C$17,MATCH(C945,Lists!$A$2:$A$17,0)),"?"))</f>
        <v/>
      </c>
    </row>
    <row r="946" spans="1:6" x14ac:dyDescent="0.35">
      <c r="A946" s="10"/>
      <c r="B946" s="9"/>
      <c r="C946" s="9"/>
      <c r="D946" s="9"/>
      <c r="E946" s="11"/>
      <c r="F946" s="8" t="str">
        <f>IF(C946="","",IFERROR(INDEX(Lists!$C$2:$C$17,MATCH(C946,Lists!$A$2:$A$17,0)),"?"))</f>
        <v/>
      </c>
    </row>
    <row r="947" spans="1:6" x14ac:dyDescent="0.35">
      <c r="A947" s="10"/>
      <c r="B947" s="9"/>
      <c r="C947" s="9"/>
      <c r="D947" s="9"/>
      <c r="E947" s="11"/>
      <c r="F947" s="8" t="str">
        <f>IF(C947="","",IFERROR(INDEX(Lists!$C$2:$C$17,MATCH(C947,Lists!$A$2:$A$17,0)),"?"))</f>
        <v/>
      </c>
    </row>
    <row r="948" spans="1:6" x14ac:dyDescent="0.35">
      <c r="A948" s="10"/>
      <c r="B948" s="9"/>
      <c r="C948" s="9"/>
      <c r="D948" s="9"/>
      <c r="E948" s="11"/>
      <c r="F948" s="8" t="str">
        <f>IF(C948="","",IFERROR(INDEX(Lists!$C$2:$C$17,MATCH(C948,Lists!$A$2:$A$17,0)),"?"))</f>
        <v/>
      </c>
    </row>
    <row r="949" spans="1:6" x14ac:dyDescent="0.35">
      <c r="A949" s="10"/>
      <c r="B949" s="9"/>
      <c r="C949" s="9"/>
      <c r="D949" s="9"/>
      <c r="E949" s="11"/>
      <c r="F949" s="8" t="str">
        <f>IF(C949="","",IFERROR(INDEX(Lists!$C$2:$C$17,MATCH(C949,Lists!$A$2:$A$17,0)),"?"))</f>
        <v/>
      </c>
    </row>
    <row r="950" spans="1:6" x14ac:dyDescent="0.35">
      <c r="A950" s="10"/>
      <c r="B950" s="9"/>
      <c r="C950" s="9"/>
      <c r="D950" s="9"/>
      <c r="E950" s="11"/>
      <c r="F950" s="8" t="str">
        <f>IF(C950="","",IFERROR(INDEX(Lists!$C$2:$C$17,MATCH(C950,Lists!$A$2:$A$17,0)),"?"))</f>
        <v/>
      </c>
    </row>
    <row r="951" spans="1:6" x14ac:dyDescent="0.35">
      <c r="A951" s="10"/>
      <c r="B951" s="9"/>
      <c r="C951" s="9"/>
      <c r="D951" s="9"/>
      <c r="E951" s="11"/>
      <c r="F951" s="8" t="str">
        <f>IF(C951="","",IFERROR(INDEX(Lists!$C$2:$C$17,MATCH(C951,Lists!$A$2:$A$17,0)),"?"))</f>
        <v/>
      </c>
    </row>
    <row r="952" spans="1:6" x14ac:dyDescent="0.35">
      <c r="A952" s="10"/>
      <c r="B952" s="9"/>
      <c r="C952" s="9"/>
      <c r="D952" s="9"/>
      <c r="E952" s="11"/>
      <c r="F952" s="8" t="str">
        <f>IF(C952="","",IFERROR(INDEX(Lists!$C$2:$C$17,MATCH(C952,Lists!$A$2:$A$17,0)),"?"))</f>
        <v/>
      </c>
    </row>
    <row r="953" spans="1:6" x14ac:dyDescent="0.35">
      <c r="A953" s="10"/>
      <c r="B953" s="9"/>
      <c r="C953" s="9"/>
      <c r="D953" s="9"/>
      <c r="E953" s="11"/>
      <c r="F953" s="8" t="str">
        <f>IF(C953="","",IFERROR(INDEX(Lists!$C$2:$C$17,MATCH(C953,Lists!$A$2:$A$17,0)),"?"))</f>
        <v/>
      </c>
    </row>
    <row r="954" spans="1:6" x14ac:dyDescent="0.35">
      <c r="A954" s="10"/>
      <c r="B954" s="9"/>
      <c r="C954" s="9"/>
      <c r="D954" s="9"/>
      <c r="E954" s="11"/>
      <c r="F954" s="8" t="str">
        <f>IF(C954="","",IFERROR(INDEX(Lists!$C$2:$C$17,MATCH(C954,Lists!$A$2:$A$17,0)),"?"))</f>
        <v/>
      </c>
    </row>
    <row r="955" spans="1:6" x14ac:dyDescent="0.35">
      <c r="A955" s="10"/>
      <c r="B955" s="9"/>
      <c r="C955" s="9"/>
      <c r="D955" s="9"/>
      <c r="E955" s="11"/>
      <c r="F955" s="8" t="str">
        <f>IF(C955="","",IFERROR(INDEX(Lists!$C$2:$C$17,MATCH(C955,Lists!$A$2:$A$17,0)),"?"))</f>
        <v/>
      </c>
    </row>
    <row r="956" spans="1:6" x14ac:dyDescent="0.35">
      <c r="A956" s="10"/>
      <c r="B956" s="9"/>
      <c r="C956" s="9"/>
      <c r="D956" s="9"/>
      <c r="E956" s="11"/>
      <c r="F956" s="8" t="str">
        <f>IF(C956="","",IFERROR(INDEX(Lists!$C$2:$C$17,MATCH(C956,Lists!$A$2:$A$17,0)),"?"))</f>
        <v/>
      </c>
    </row>
    <row r="957" spans="1:6" x14ac:dyDescent="0.35">
      <c r="A957" s="10"/>
      <c r="B957" s="9"/>
      <c r="C957" s="9"/>
      <c r="D957" s="9"/>
      <c r="E957" s="11"/>
      <c r="F957" s="8" t="str">
        <f>IF(C957="","",IFERROR(INDEX(Lists!$C$2:$C$17,MATCH(C957,Lists!$A$2:$A$17,0)),"?"))</f>
        <v/>
      </c>
    </row>
    <row r="958" spans="1:6" x14ac:dyDescent="0.35">
      <c r="A958" s="10"/>
      <c r="B958" s="9"/>
      <c r="C958" s="9"/>
      <c r="D958" s="9"/>
      <c r="E958" s="11"/>
      <c r="F958" s="8" t="str">
        <f>IF(C958="","",IFERROR(INDEX(Lists!$C$2:$C$17,MATCH(C958,Lists!$A$2:$A$17,0)),"?"))</f>
        <v/>
      </c>
    </row>
    <row r="959" spans="1:6" x14ac:dyDescent="0.35">
      <c r="A959" s="10"/>
      <c r="B959" s="9"/>
      <c r="C959" s="9"/>
      <c r="D959" s="9"/>
      <c r="E959" s="11"/>
      <c r="F959" s="8" t="str">
        <f>IF(C959="","",IFERROR(INDEX(Lists!$C$2:$C$17,MATCH(C959,Lists!$A$2:$A$17,0)),"?"))</f>
        <v/>
      </c>
    </row>
    <row r="960" spans="1:6" x14ac:dyDescent="0.35">
      <c r="A960" s="10"/>
      <c r="B960" s="9"/>
      <c r="C960" s="9"/>
      <c r="D960" s="9"/>
      <c r="E960" s="11"/>
      <c r="F960" s="8" t="str">
        <f>IF(C960="","",IFERROR(INDEX(Lists!$C$2:$C$17,MATCH(C960,Lists!$A$2:$A$17,0)),"?"))</f>
        <v/>
      </c>
    </row>
    <row r="961" spans="1:6" x14ac:dyDescent="0.35">
      <c r="A961" s="10"/>
      <c r="B961" s="9"/>
      <c r="C961" s="9"/>
      <c r="D961" s="9"/>
      <c r="E961" s="11"/>
      <c r="F961" s="8" t="str">
        <f>IF(C961="","",IFERROR(INDEX(Lists!$C$2:$C$17,MATCH(C961,Lists!$A$2:$A$17,0)),"?"))</f>
        <v/>
      </c>
    </row>
    <row r="962" spans="1:6" x14ac:dyDescent="0.35">
      <c r="A962" s="10"/>
      <c r="B962" s="9"/>
      <c r="C962" s="9"/>
      <c r="D962" s="9"/>
      <c r="E962" s="11"/>
      <c r="F962" s="8" t="str">
        <f>IF(C962="","",IFERROR(INDEX(Lists!$C$2:$C$17,MATCH(C962,Lists!$A$2:$A$17,0)),"?"))</f>
        <v/>
      </c>
    </row>
    <row r="963" spans="1:6" x14ac:dyDescent="0.35">
      <c r="A963" s="10"/>
      <c r="B963" s="9"/>
      <c r="C963" s="9"/>
      <c r="D963" s="9"/>
      <c r="E963" s="11"/>
      <c r="F963" s="8" t="str">
        <f>IF(C963="","",IFERROR(INDEX(Lists!$C$2:$C$17,MATCH(C963,Lists!$A$2:$A$17,0)),"?"))</f>
        <v/>
      </c>
    </row>
    <row r="964" spans="1:6" x14ac:dyDescent="0.35">
      <c r="A964" s="10"/>
      <c r="B964" s="9"/>
      <c r="C964" s="9"/>
      <c r="D964" s="9"/>
      <c r="E964" s="11"/>
      <c r="F964" s="8" t="str">
        <f>IF(C964="","",IFERROR(INDEX(Lists!$C$2:$C$17,MATCH(C964,Lists!$A$2:$A$17,0)),"?"))</f>
        <v/>
      </c>
    </row>
    <row r="965" spans="1:6" x14ac:dyDescent="0.35">
      <c r="A965" s="10"/>
      <c r="B965" s="9"/>
      <c r="C965" s="9"/>
      <c r="D965" s="9"/>
      <c r="E965" s="11"/>
      <c r="F965" s="8" t="str">
        <f>IF(C965="","",IFERROR(INDEX(Lists!$C$2:$C$17,MATCH(C965,Lists!$A$2:$A$17,0)),"?"))</f>
        <v/>
      </c>
    </row>
    <row r="966" spans="1:6" x14ac:dyDescent="0.35">
      <c r="A966" s="10"/>
      <c r="B966" s="9"/>
      <c r="C966" s="9"/>
      <c r="D966" s="9"/>
      <c r="E966" s="11"/>
      <c r="F966" s="8" t="str">
        <f>IF(C966="","",IFERROR(INDEX(Lists!$C$2:$C$17,MATCH(C966,Lists!$A$2:$A$17,0)),"?"))</f>
        <v/>
      </c>
    </row>
    <row r="967" spans="1:6" x14ac:dyDescent="0.35">
      <c r="A967" s="10"/>
      <c r="B967" s="9"/>
      <c r="C967" s="9"/>
      <c r="D967" s="9"/>
      <c r="E967" s="11"/>
      <c r="F967" s="8" t="str">
        <f>IF(C967="","",IFERROR(INDEX(Lists!$C$2:$C$17,MATCH(C967,Lists!$A$2:$A$17,0)),"?"))</f>
        <v/>
      </c>
    </row>
    <row r="968" spans="1:6" x14ac:dyDescent="0.35">
      <c r="A968" s="10"/>
      <c r="B968" s="9"/>
      <c r="C968" s="9"/>
      <c r="D968" s="9"/>
      <c r="E968" s="11"/>
      <c r="F968" s="8" t="str">
        <f>IF(C968="","",IFERROR(INDEX(Lists!$C$2:$C$17,MATCH(C968,Lists!$A$2:$A$17,0)),"?"))</f>
        <v/>
      </c>
    </row>
    <row r="969" spans="1:6" x14ac:dyDescent="0.35">
      <c r="A969" s="10"/>
      <c r="B969" s="9"/>
      <c r="C969" s="9"/>
      <c r="D969" s="9"/>
      <c r="E969" s="11"/>
      <c r="F969" s="8" t="str">
        <f>IF(C969="","",IFERROR(INDEX(Lists!$C$2:$C$17,MATCH(C969,Lists!$A$2:$A$17,0)),"?"))</f>
        <v/>
      </c>
    </row>
    <row r="970" spans="1:6" x14ac:dyDescent="0.35">
      <c r="A970" s="10"/>
      <c r="B970" s="9"/>
      <c r="C970" s="9"/>
      <c r="D970" s="9"/>
      <c r="E970" s="11"/>
      <c r="F970" s="8" t="str">
        <f>IF(C970="","",IFERROR(INDEX(Lists!$C$2:$C$17,MATCH(C970,Lists!$A$2:$A$17,0)),"?"))</f>
        <v/>
      </c>
    </row>
    <row r="971" spans="1:6" x14ac:dyDescent="0.35">
      <c r="A971" s="10"/>
      <c r="B971" s="9"/>
      <c r="C971" s="9"/>
      <c r="D971" s="9"/>
      <c r="E971" s="11"/>
      <c r="F971" s="8" t="str">
        <f>IF(C971="","",IFERROR(INDEX(Lists!$C$2:$C$17,MATCH(C971,Lists!$A$2:$A$17,0)),"?"))</f>
        <v/>
      </c>
    </row>
    <row r="972" spans="1:6" x14ac:dyDescent="0.35">
      <c r="A972" s="10"/>
      <c r="B972" s="9"/>
      <c r="C972" s="9"/>
      <c r="D972" s="9"/>
      <c r="E972" s="11"/>
      <c r="F972" s="8" t="str">
        <f>IF(C972="","",IFERROR(INDEX(Lists!$C$2:$C$17,MATCH(C972,Lists!$A$2:$A$17,0)),"?"))</f>
        <v/>
      </c>
    </row>
    <row r="973" spans="1:6" x14ac:dyDescent="0.35">
      <c r="A973" s="10"/>
      <c r="B973" s="9"/>
      <c r="C973" s="9"/>
      <c r="D973" s="9"/>
      <c r="E973" s="11"/>
      <c r="F973" s="8" t="str">
        <f>IF(C973="","",IFERROR(INDEX(Lists!$C$2:$C$17,MATCH(C973,Lists!$A$2:$A$17,0)),"?"))</f>
        <v/>
      </c>
    </row>
    <row r="974" spans="1:6" x14ac:dyDescent="0.35">
      <c r="A974" s="10"/>
      <c r="B974" s="9"/>
      <c r="C974" s="9"/>
      <c r="D974" s="9"/>
      <c r="E974" s="11"/>
      <c r="F974" s="8" t="str">
        <f>IF(C974="","",IFERROR(INDEX(Lists!$C$2:$C$17,MATCH(C974,Lists!$A$2:$A$17,0)),"?"))</f>
        <v/>
      </c>
    </row>
    <row r="975" spans="1:6" x14ac:dyDescent="0.35">
      <c r="A975" s="10"/>
      <c r="B975" s="9"/>
      <c r="C975" s="9"/>
      <c r="D975" s="9"/>
      <c r="E975" s="11"/>
      <c r="F975" s="8" t="str">
        <f>IF(C975="","",IFERROR(INDEX(Lists!$C$2:$C$17,MATCH(C975,Lists!$A$2:$A$17,0)),"?"))</f>
        <v/>
      </c>
    </row>
    <row r="976" spans="1:6" x14ac:dyDescent="0.35">
      <c r="A976" s="10"/>
      <c r="B976" s="9"/>
      <c r="C976" s="9"/>
      <c r="D976" s="9"/>
      <c r="E976" s="11"/>
      <c r="F976" s="8" t="str">
        <f>IF(C976="","",IFERROR(INDEX(Lists!$C$2:$C$17,MATCH(C976,Lists!$A$2:$A$17,0)),"?"))</f>
        <v/>
      </c>
    </row>
    <row r="977" spans="1:6" x14ac:dyDescent="0.35">
      <c r="A977" s="10"/>
      <c r="B977" s="9"/>
      <c r="C977" s="9"/>
      <c r="D977" s="9"/>
      <c r="E977" s="11"/>
      <c r="F977" s="8" t="str">
        <f>IF(C977="","",IFERROR(INDEX(Lists!$C$2:$C$17,MATCH(C977,Lists!$A$2:$A$17,0)),"?"))</f>
        <v/>
      </c>
    </row>
    <row r="978" spans="1:6" x14ac:dyDescent="0.35">
      <c r="A978" s="10"/>
      <c r="B978" s="9"/>
      <c r="C978" s="9"/>
      <c r="D978" s="9"/>
      <c r="E978" s="11"/>
      <c r="F978" s="8" t="str">
        <f>IF(C978="","",IFERROR(INDEX(Lists!$C$2:$C$17,MATCH(C978,Lists!$A$2:$A$17,0)),"?"))</f>
        <v/>
      </c>
    </row>
    <row r="979" spans="1:6" x14ac:dyDescent="0.35">
      <c r="A979" s="10"/>
      <c r="B979" s="9"/>
      <c r="C979" s="9"/>
      <c r="D979" s="9"/>
      <c r="E979" s="11"/>
      <c r="F979" s="8" t="str">
        <f>IF(C979="","",IFERROR(INDEX(Lists!$C$2:$C$17,MATCH(C979,Lists!$A$2:$A$17,0)),"?"))</f>
        <v/>
      </c>
    </row>
    <row r="980" spans="1:6" x14ac:dyDescent="0.35">
      <c r="A980" s="10"/>
      <c r="B980" s="9"/>
      <c r="C980" s="9"/>
      <c r="D980" s="9"/>
      <c r="E980" s="11"/>
      <c r="F980" s="8" t="str">
        <f>IF(C980="","",IFERROR(INDEX(Lists!$C$2:$C$17,MATCH(C980,Lists!$A$2:$A$17,0)),"?"))</f>
        <v/>
      </c>
    </row>
    <row r="981" spans="1:6" x14ac:dyDescent="0.35">
      <c r="A981" s="10"/>
      <c r="B981" s="9"/>
      <c r="C981" s="9"/>
      <c r="D981" s="9"/>
      <c r="E981" s="11"/>
      <c r="F981" s="8" t="str">
        <f>IF(C981="","",IFERROR(INDEX(Lists!$C$2:$C$17,MATCH(C981,Lists!$A$2:$A$17,0)),"?"))</f>
        <v/>
      </c>
    </row>
    <row r="982" spans="1:6" x14ac:dyDescent="0.35">
      <c r="A982" s="10"/>
      <c r="B982" s="9"/>
      <c r="C982" s="9"/>
      <c r="D982" s="9"/>
      <c r="E982" s="11"/>
      <c r="F982" s="8" t="str">
        <f>IF(C982="","",IFERROR(INDEX(Lists!$C$2:$C$17,MATCH(C982,Lists!$A$2:$A$17,0)),"?"))</f>
        <v/>
      </c>
    </row>
    <row r="983" spans="1:6" x14ac:dyDescent="0.35">
      <c r="A983" s="10"/>
      <c r="B983" s="9"/>
      <c r="C983" s="9"/>
      <c r="D983" s="9"/>
      <c r="E983" s="11"/>
      <c r="F983" s="8" t="str">
        <f>IF(C983="","",IFERROR(INDEX(Lists!$C$2:$C$17,MATCH(C983,Lists!$A$2:$A$17,0)),"?"))</f>
        <v/>
      </c>
    </row>
    <row r="984" spans="1:6" x14ac:dyDescent="0.35">
      <c r="A984" s="10"/>
      <c r="B984" s="9"/>
      <c r="C984" s="9"/>
      <c r="D984" s="9"/>
      <c r="E984" s="11"/>
      <c r="F984" s="8" t="str">
        <f>IF(C984="","",IFERROR(INDEX(Lists!$C$2:$C$17,MATCH(C984,Lists!$A$2:$A$17,0)),"?"))</f>
        <v/>
      </c>
    </row>
    <row r="985" spans="1:6" x14ac:dyDescent="0.35">
      <c r="A985" s="10"/>
      <c r="B985" s="9"/>
      <c r="C985" s="9"/>
      <c r="D985" s="9"/>
      <c r="E985" s="11"/>
      <c r="F985" s="8" t="str">
        <f>IF(C985="","",IFERROR(INDEX(Lists!$C$2:$C$17,MATCH(C985,Lists!$A$2:$A$17,0)),"?"))</f>
        <v/>
      </c>
    </row>
    <row r="986" spans="1:6" x14ac:dyDescent="0.35">
      <c r="A986" s="10"/>
      <c r="B986" s="9"/>
      <c r="C986" s="9"/>
      <c r="D986" s="9"/>
      <c r="E986" s="11"/>
      <c r="F986" s="8" t="str">
        <f>IF(C986="","",IFERROR(INDEX(Lists!$C$2:$C$17,MATCH(C986,Lists!$A$2:$A$17,0)),"?"))</f>
        <v/>
      </c>
    </row>
    <row r="987" spans="1:6" x14ac:dyDescent="0.35">
      <c r="A987" s="10"/>
      <c r="B987" s="9"/>
      <c r="C987" s="9"/>
      <c r="D987" s="9"/>
      <c r="E987" s="11"/>
      <c r="F987" s="8" t="str">
        <f>IF(C987="","",IFERROR(INDEX(Lists!$C$2:$C$17,MATCH(C987,Lists!$A$2:$A$17,0)),"?"))</f>
        <v/>
      </c>
    </row>
    <row r="988" spans="1:6" x14ac:dyDescent="0.35">
      <c r="A988" s="10"/>
      <c r="B988" s="9"/>
      <c r="C988" s="9"/>
      <c r="D988" s="9"/>
      <c r="E988" s="11"/>
      <c r="F988" s="8" t="str">
        <f>IF(C988="","",IFERROR(INDEX(Lists!$C$2:$C$17,MATCH(C988,Lists!$A$2:$A$17,0)),"?"))</f>
        <v/>
      </c>
    </row>
    <row r="989" spans="1:6" x14ac:dyDescent="0.35">
      <c r="A989" s="10"/>
      <c r="B989" s="9"/>
      <c r="C989" s="9"/>
      <c r="D989" s="9"/>
      <c r="E989" s="11"/>
      <c r="F989" s="8" t="str">
        <f>IF(C989="","",IFERROR(INDEX(Lists!$C$2:$C$17,MATCH(C989,Lists!$A$2:$A$17,0)),"?"))</f>
        <v/>
      </c>
    </row>
    <row r="990" spans="1:6" x14ac:dyDescent="0.35">
      <c r="A990" s="10"/>
      <c r="B990" s="9"/>
      <c r="C990" s="9"/>
      <c r="D990" s="9"/>
      <c r="E990" s="11"/>
      <c r="F990" s="8" t="str">
        <f>IF(C990="","",IFERROR(INDEX(Lists!$C$2:$C$17,MATCH(C990,Lists!$A$2:$A$17,0)),"?"))</f>
        <v/>
      </c>
    </row>
    <row r="991" spans="1:6" x14ac:dyDescent="0.35">
      <c r="A991" s="10"/>
      <c r="B991" s="9"/>
      <c r="C991" s="9"/>
      <c r="D991" s="9"/>
      <c r="E991" s="11"/>
      <c r="F991" s="8" t="str">
        <f>IF(C991="","",IFERROR(INDEX(Lists!$C$2:$C$17,MATCH(C991,Lists!$A$2:$A$17,0)),"?"))</f>
        <v/>
      </c>
    </row>
    <row r="992" spans="1:6" x14ac:dyDescent="0.35">
      <c r="A992" s="10"/>
      <c r="B992" s="9"/>
      <c r="C992" s="9"/>
      <c r="D992" s="9"/>
      <c r="E992" s="11"/>
      <c r="F992" s="8" t="str">
        <f>IF(C992="","",IFERROR(INDEX(Lists!$C$2:$C$17,MATCH(C992,Lists!$A$2:$A$17,0)),"?"))</f>
        <v/>
      </c>
    </row>
    <row r="993" spans="1:6" x14ac:dyDescent="0.35">
      <c r="A993" s="10"/>
      <c r="B993" s="9"/>
      <c r="C993" s="9"/>
      <c r="D993" s="9"/>
      <c r="E993" s="11"/>
      <c r="F993" s="8" t="str">
        <f>IF(C993="","",IFERROR(INDEX(Lists!$C$2:$C$17,MATCH(C993,Lists!$A$2:$A$17,0)),"?"))</f>
        <v/>
      </c>
    </row>
    <row r="994" spans="1:6" x14ac:dyDescent="0.35">
      <c r="A994" s="10"/>
      <c r="B994" s="9"/>
      <c r="C994" s="9"/>
      <c r="D994" s="9"/>
      <c r="E994" s="11"/>
      <c r="F994" s="8" t="str">
        <f>IF(C994="","",IFERROR(INDEX(Lists!$C$2:$C$17,MATCH(C994,Lists!$A$2:$A$17,0)),"?"))</f>
        <v/>
      </c>
    </row>
    <row r="995" spans="1:6" x14ac:dyDescent="0.35">
      <c r="A995" s="10"/>
      <c r="B995" s="9"/>
      <c r="C995" s="9"/>
      <c r="D995" s="9"/>
      <c r="E995" s="11"/>
      <c r="F995" s="8" t="str">
        <f>IF(C995="","",IFERROR(INDEX(Lists!$C$2:$C$17,MATCH(C995,Lists!$A$2:$A$17,0)),"?"))</f>
        <v/>
      </c>
    </row>
    <row r="996" spans="1:6" x14ac:dyDescent="0.35">
      <c r="A996" s="10"/>
      <c r="B996" s="9"/>
      <c r="C996" s="9"/>
      <c r="D996" s="9"/>
      <c r="E996" s="11"/>
      <c r="F996" s="8" t="str">
        <f>IF(C996="","",IFERROR(INDEX(Lists!$C$2:$C$17,MATCH(C996,Lists!$A$2:$A$17,0)),"?"))</f>
        <v/>
      </c>
    </row>
    <row r="997" spans="1:6" x14ac:dyDescent="0.35">
      <c r="A997" s="10"/>
      <c r="B997" s="9"/>
      <c r="C997" s="9"/>
      <c r="D997" s="9"/>
      <c r="E997" s="11"/>
      <c r="F997" s="8" t="str">
        <f>IF(C997="","",IFERROR(INDEX(Lists!$C$2:$C$17,MATCH(C997,Lists!$A$2:$A$17,0)),"?"))</f>
        <v/>
      </c>
    </row>
    <row r="998" spans="1:6" x14ac:dyDescent="0.35">
      <c r="A998" s="10"/>
      <c r="B998" s="9"/>
      <c r="C998" s="9"/>
      <c r="D998" s="9"/>
      <c r="E998" s="11"/>
      <c r="F998" s="8" t="str">
        <f>IF(C998="","",IFERROR(INDEX(Lists!$C$2:$C$17,MATCH(C998,Lists!$A$2:$A$17,0)),"?"))</f>
        <v/>
      </c>
    </row>
    <row r="999" spans="1:6" x14ac:dyDescent="0.35">
      <c r="A999" s="10"/>
      <c r="B999" s="9"/>
      <c r="C999" s="9"/>
      <c r="D999" s="9"/>
      <c r="E999" s="11"/>
      <c r="F999" s="8" t="str">
        <f>IF(C999="","",IFERROR(INDEX(Lists!$C$2:$C$17,MATCH(C999,Lists!$A$2:$A$17,0)),"?"))</f>
        <v/>
      </c>
    </row>
    <row r="1000" spans="1:6" x14ac:dyDescent="0.35">
      <c r="A1000" s="10"/>
      <c r="B1000" s="9"/>
      <c r="C1000" s="9"/>
      <c r="D1000" s="9"/>
      <c r="E1000" s="11"/>
      <c r="F1000" s="8" t="str">
        <f>IF(C1000="","",IFERROR(INDEX(Lists!$C$2:$C$17,MATCH(C1000,Lists!$A$2:$A$17,0)),"?"))</f>
        <v/>
      </c>
    </row>
    <row r="1001" spans="1:6" x14ac:dyDescent="0.35">
      <c r="A1001" s="10"/>
      <c r="B1001" s="9"/>
      <c r="C1001" s="9"/>
      <c r="D1001" s="9"/>
      <c r="E1001" s="11"/>
      <c r="F1001" s="8" t="str">
        <f>IF(C1001="","",IFERROR(INDEX(Lists!$C$2:$C$17,MATCH(C1001,Lists!$A$2:$A$17,0)),"?"))</f>
        <v/>
      </c>
    </row>
    <row r="1002" spans="1:6" x14ac:dyDescent="0.35">
      <c r="A1002" s="10"/>
      <c r="B1002" s="9"/>
      <c r="C1002" s="9"/>
      <c r="D1002" s="9"/>
      <c r="E1002" s="11"/>
      <c r="F1002" s="8" t="str">
        <f>IF(C1002="","",IFERROR(INDEX(Lists!$C$2:$C$17,MATCH(C1002,Lists!$A$2:$A$17,0)),"?"))</f>
        <v/>
      </c>
    </row>
    <row r="1003" spans="1:6" x14ac:dyDescent="0.35">
      <c r="A1003" s="10"/>
      <c r="B1003" s="9"/>
      <c r="C1003" s="9"/>
      <c r="D1003" s="9"/>
      <c r="E1003" s="11"/>
      <c r="F1003" s="8" t="str">
        <f>IF(C1003="","",IFERROR(INDEX(Lists!$C$2:$C$17,MATCH(C1003,Lists!$A$2:$A$17,0)),"?"))</f>
        <v/>
      </c>
    </row>
    <row r="1004" spans="1:6" x14ac:dyDescent="0.35">
      <c r="A1004" s="10"/>
      <c r="B1004" s="9"/>
      <c r="C1004" s="9"/>
      <c r="D1004" s="9"/>
      <c r="E1004" s="11"/>
      <c r="F1004" s="8" t="str">
        <f>IF(C1004="","",IFERROR(INDEX(Lists!$C$2:$C$17,MATCH(C1004,Lists!$A$2:$A$17,0)),"?"))</f>
        <v/>
      </c>
    </row>
  </sheetData>
  <conditionalFormatting sqref="A5:A1004">
    <cfRule type="expression" dxfId="5" priority="1">
      <formula>AND(OR(A5&lt;&gt;"",B5&lt;&gt;"",C5&lt;&gt;"",E5&lt;&gt;""),NOT(ISNUMBER(A5)))</formula>
    </cfRule>
  </conditionalFormatting>
  <conditionalFormatting sqref="E5:E1004">
    <cfRule type="expression" dxfId="2" priority="4">
      <formula>AND(OR(A5&lt;&gt;"",B5&lt;&gt;"",C5&lt;&gt;"",E5&lt;&gt;""),NOT(ISNUMBER(E5)))</formula>
    </cfRule>
  </conditionalFormatting>
  <dataValidations count="2">
    <dataValidation type="date" operator="greaterThan" allowBlank="1" showErrorMessage="1" errorTitle="Date" error="Enter a real date, e.g. 1/31/2026." sqref="A5:A1004" xr:uid="{00000000-0002-0000-0300-000002000000}">
      <formula1>1</formula1>
    </dataValidation>
    <dataValidation type="decimal" allowBlank="1" showErrorMessage="1" errorTitle="Amount" error="Enter a number only (no $ sign or text). Use a negative number for a refund." sqref="E5:E1004" xr:uid="{00000000-0002-0000-0300-000003000000}">
      <formula1>-100000000</formula1>
      <formula2>100000000</formula2>
    </dataValidation>
  </dataValidations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300-000002000000}">
            <xm:f>AND(OR(A5&lt;&gt;"",B5&lt;&gt;"",C5&lt;&gt;"",E5&lt;&gt;""),OR(B5="",COUNTIF(Lists!$E$3:$E$12,B5)=0))</xm:f>
            <x14:dxf>
              <fill>
                <patternFill patternType="solid">
                  <fgColor rgb="FFF8C9C4"/>
                  <bgColor rgb="FFF8C9C4"/>
                </patternFill>
              </fill>
            </x14:dxf>
          </x14:cfRule>
          <xm:sqref>B5:B1004</xm:sqref>
        </x14:conditionalFormatting>
        <x14:conditionalFormatting xmlns:xm="http://schemas.microsoft.com/office/excel/2006/main">
          <x14:cfRule type="expression" priority="3" id="{00000000-000E-0000-0300-000003000000}">
            <xm:f>AND(OR(A5&lt;&gt;"",B5&lt;&gt;"",C5&lt;&gt;"",E5&lt;&gt;""),OR(C5="",COUNTIF(Lists!$A$2:$A$17,C5)=0))</xm:f>
            <x14:dxf>
              <fill>
                <patternFill patternType="solid">
                  <fgColor rgb="FFF8C9C4"/>
                  <bgColor rgb="FFF8C9C4"/>
                </patternFill>
              </fill>
            </x14:dxf>
          </x14:cfRule>
          <xm:sqref>C5:C1004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300-000000000000}">
          <x14:formula1>
            <xm:f>Lists!$E$3:$E$12</xm:f>
          </x14:formula1>
          <xm:sqref>B5:B1004</xm:sqref>
        </x14:dataValidation>
        <x14:dataValidation type="list" allowBlank="1" showErrorMessage="1" error="Pick a category from the list" xr:uid="{00000000-0002-0000-0300-000001000000}">
          <x14:formula1>
            <xm:f>Lists!$A$2:$A$17</xm:f>
          </x14:formula1>
          <xm:sqref>C5:C1004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B3A86"/>
  </sheetPr>
  <dimension ref="A1:M30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2" width="32" customWidth="1"/>
    <col min="3" max="12" width="15" customWidth="1"/>
    <col min="13" max="13" width="16" customWidth="1"/>
  </cols>
  <sheetData>
    <row r="1" spans="1:13" ht="23" x14ac:dyDescent="0.5">
      <c r="A1" s="1" t="s">
        <v>102</v>
      </c>
    </row>
    <row r="3" spans="1:13" ht="15.5" x14ac:dyDescent="0.35">
      <c r="B3" s="14" t="s">
        <v>103</v>
      </c>
      <c r="C3" s="15">
        <v>2026</v>
      </c>
      <c r="E3" s="2" t="s">
        <v>104</v>
      </c>
    </row>
    <row r="5" spans="1:13" ht="44" customHeight="1" x14ac:dyDescent="0.35">
      <c r="A5" s="7" t="s">
        <v>105</v>
      </c>
      <c r="B5" s="7" t="s">
        <v>70</v>
      </c>
      <c r="C5" s="7" t="str">
        <f>IF(Properties!B5="","Property 1",Properties!B5)</f>
        <v>EXAMPLE: 412 Maple St (duplex)</v>
      </c>
      <c r="D5" s="7" t="str">
        <f>IF(Properties!B6="","Property 2",Properties!B6)</f>
        <v>Property 2</v>
      </c>
      <c r="E5" s="7" t="str">
        <f>IF(Properties!B7="","Property 3",Properties!B7)</f>
        <v>Property 3</v>
      </c>
      <c r="F5" s="7" t="str">
        <f>IF(Properties!B8="","Property 4",Properties!B8)</f>
        <v>Property 4</v>
      </c>
      <c r="G5" s="7" t="str">
        <f>IF(Properties!B9="","Property 5",Properties!B9)</f>
        <v>Property 5</v>
      </c>
      <c r="H5" s="7" t="str">
        <f>IF(Properties!B10="","Property 6",Properties!B10)</f>
        <v>Property 6</v>
      </c>
      <c r="I5" s="7" t="str">
        <f>IF(Properties!B11="","Property 7",Properties!B11)</f>
        <v>Property 7</v>
      </c>
      <c r="J5" s="7" t="str">
        <f>IF(Properties!B12="","Property 8",Properties!B12)</f>
        <v>Property 8</v>
      </c>
      <c r="K5" s="7" t="str">
        <f>IF(Properties!B13="","Property 9",Properties!B13)</f>
        <v>Property 9</v>
      </c>
      <c r="L5" s="7" t="str">
        <f>IF(Properties!B14="","Property 10",Properties!B14)</f>
        <v>Property 10</v>
      </c>
      <c r="M5" s="7" t="s">
        <v>106</v>
      </c>
    </row>
    <row r="6" spans="1:13" x14ac:dyDescent="0.35">
      <c r="A6" s="16" t="s">
        <v>107</v>
      </c>
      <c r="B6" s="16" t="s">
        <v>73</v>
      </c>
      <c r="C6" s="17">
        <f>IF(Properties!$B$5="",0,SUMIFS(Transactions!$E$5:$E$1004,Transactions!$B$5:$B$1004,Properties!$B$5,Transactions!$C$5:$C$1004,$B6,Transactions!$A$5:$A$1004,"&gt;="&amp;DATE($C$3,1,1),Transactions!$A$5:$A$1004,"&lt;"&amp;DATE($C$3+1,1,1)))</f>
        <v>28450</v>
      </c>
      <c r="D6" s="17">
        <f>IF(Properties!$B$6="",0,SUMIFS(Transactions!$E$5:$E$1004,Transactions!$B$5:$B$1004,Properties!$B$6,Transactions!$C$5:$C$1004,$B6,Transactions!$A$5:$A$1004,"&gt;="&amp;DATE($C$3,1,1),Transactions!$A$5:$A$1004,"&lt;"&amp;DATE($C$3+1,1,1)))</f>
        <v>0</v>
      </c>
      <c r="E6" s="17">
        <f>IF(Properties!$B$7="",0,SUMIFS(Transactions!$E$5:$E$1004,Transactions!$B$5:$B$1004,Properties!$B$7,Transactions!$C$5:$C$1004,$B6,Transactions!$A$5:$A$1004,"&gt;="&amp;DATE($C$3,1,1),Transactions!$A$5:$A$1004,"&lt;"&amp;DATE($C$3+1,1,1)))</f>
        <v>0</v>
      </c>
      <c r="F6" s="17">
        <f>IF(Properties!$B$8="",0,SUMIFS(Transactions!$E$5:$E$1004,Transactions!$B$5:$B$1004,Properties!$B$8,Transactions!$C$5:$C$1004,$B6,Transactions!$A$5:$A$1004,"&gt;="&amp;DATE($C$3,1,1),Transactions!$A$5:$A$1004,"&lt;"&amp;DATE($C$3+1,1,1)))</f>
        <v>0</v>
      </c>
      <c r="G6" s="17">
        <f>IF(Properties!$B$9="",0,SUMIFS(Transactions!$E$5:$E$1004,Transactions!$B$5:$B$1004,Properties!$B$9,Transactions!$C$5:$C$1004,$B6,Transactions!$A$5:$A$1004,"&gt;="&amp;DATE($C$3,1,1),Transactions!$A$5:$A$1004,"&lt;"&amp;DATE($C$3+1,1,1)))</f>
        <v>0</v>
      </c>
      <c r="H6" s="17">
        <f>IF(Properties!$B$10="",0,SUMIFS(Transactions!$E$5:$E$1004,Transactions!$B$5:$B$1004,Properties!$B$10,Transactions!$C$5:$C$1004,$B6,Transactions!$A$5:$A$1004,"&gt;="&amp;DATE($C$3,1,1),Transactions!$A$5:$A$1004,"&lt;"&amp;DATE($C$3+1,1,1)))</f>
        <v>0</v>
      </c>
      <c r="I6" s="17">
        <f>IF(Properties!$B$11="",0,SUMIFS(Transactions!$E$5:$E$1004,Transactions!$B$5:$B$1004,Properties!$B$11,Transactions!$C$5:$C$1004,$B6,Transactions!$A$5:$A$1004,"&gt;="&amp;DATE($C$3,1,1),Transactions!$A$5:$A$1004,"&lt;"&amp;DATE($C$3+1,1,1)))</f>
        <v>0</v>
      </c>
      <c r="J6" s="17">
        <f>IF(Properties!$B$12="",0,SUMIFS(Transactions!$E$5:$E$1004,Transactions!$B$5:$B$1004,Properties!$B$12,Transactions!$C$5:$C$1004,$B6,Transactions!$A$5:$A$1004,"&gt;="&amp;DATE($C$3,1,1),Transactions!$A$5:$A$1004,"&lt;"&amp;DATE($C$3+1,1,1)))</f>
        <v>0</v>
      </c>
      <c r="K6" s="17">
        <f>IF(Properties!$B$13="",0,SUMIFS(Transactions!$E$5:$E$1004,Transactions!$B$5:$B$1004,Properties!$B$13,Transactions!$C$5:$C$1004,$B6,Transactions!$A$5:$A$1004,"&gt;="&amp;DATE($C$3,1,1),Transactions!$A$5:$A$1004,"&lt;"&amp;DATE($C$3+1,1,1)))</f>
        <v>0</v>
      </c>
      <c r="L6" s="17">
        <f>IF(Properties!$B$14="",0,SUMIFS(Transactions!$E$5:$E$1004,Transactions!$B$5:$B$1004,Properties!$B$14,Transactions!$C$5:$C$1004,$B6,Transactions!$A$5:$A$1004,"&gt;="&amp;DATE($C$3,1,1),Transactions!$A$5:$A$1004,"&lt;"&amp;DATE($C$3+1,1,1)))</f>
        <v>0</v>
      </c>
      <c r="M6" s="18">
        <f t="shared" ref="M6:M22" si="0">SUM(C6:L6)</f>
        <v>28450</v>
      </c>
    </row>
    <row r="7" spans="1:13" x14ac:dyDescent="0.35">
      <c r="A7" s="8" t="s">
        <v>107</v>
      </c>
      <c r="B7" s="8" t="s">
        <v>108</v>
      </c>
      <c r="C7" s="19">
        <f>IF(Properties!$B$5="",0,SUMIFS(Transactions!$E$5:$E$1004,Transactions!$B$5:$B$1004,Properties!$B$5,Transactions!$C$5:$C$1004,$B7,Transactions!$A$5:$A$1004,"&gt;="&amp;DATE($C$3,1,1),Transactions!$A$5:$A$1004,"&lt;"&amp;DATE($C$3+1,1,1)))</f>
        <v>0</v>
      </c>
      <c r="D7" s="19">
        <f>IF(Properties!$B$6="",0,SUMIFS(Transactions!$E$5:$E$1004,Transactions!$B$5:$B$1004,Properties!$B$6,Transactions!$C$5:$C$1004,$B7,Transactions!$A$5:$A$1004,"&gt;="&amp;DATE($C$3,1,1),Transactions!$A$5:$A$1004,"&lt;"&amp;DATE($C$3+1,1,1)))</f>
        <v>0</v>
      </c>
      <c r="E7" s="19">
        <f>IF(Properties!$B$7="",0,SUMIFS(Transactions!$E$5:$E$1004,Transactions!$B$5:$B$1004,Properties!$B$7,Transactions!$C$5:$C$1004,$B7,Transactions!$A$5:$A$1004,"&gt;="&amp;DATE($C$3,1,1),Transactions!$A$5:$A$1004,"&lt;"&amp;DATE($C$3+1,1,1)))</f>
        <v>0</v>
      </c>
      <c r="F7" s="19">
        <f>IF(Properties!$B$8="",0,SUMIFS(Transactions!$E$5:$E$1004,Transactions!$B$5:$B$1004,Properties!$B$8,Transactions!$C$5:$C$1004,$B7,Transactions!$A$5:$A$1004,"&gt;="&amp;DATE($C$3,1,1),Transactions!$A$5:$A$1004,"&lt;"&amp;DATE($C$3+1,1,1)))</f>
        <v>0</v>
      </c>
      <c r="G7" s="19">
        <f>IF(Properties!$B$9="",0,SUMIFS(Transactions!$E$5:$E$1004,Transactions!$B$5:$B$1004,Properties!$B$9,Transactions!$C$5:$C$1004,$B7,Transactions!$A$5:$A$1004,"&gt;="&amp;DATE($C$3,1,1),Transactions!$A$5:$A$1004,"&lt;"&amp;DATE($C$3+1,1,1)))</f>
        <v>0</v>
      </c>
      <c r="H7" s="19">
        <f>IF(Properties!$B$10="",0,SUMIFS(Transactions!$E$5:$E$1004,Transactions!$B$5:$B$1004,Properties!$B$10,Transactions!$C$5:$C$1004,$B7,Transactions!$A$5:$A$1004,"&gt;="&amp;DATE($C$3,1,1),Transactions!$A$5:$A$1004,"&lt;"&amp;DATE($C$3+1,1,1)))</f>
        <v>0</v>
      </c>
      <c r="I7" s="19">
        <f>IF(Properties!$B$11="",0,SUMIFS(Transactions!$E$5:$E$1004,Transactions!$B$5:$B$1004,Properties!$B$11,Transactions!$C$5:$C$1004,$B7,Transactions!$A$5:$A$1004,"&gt;="&amp;DATE($C$3,1,1),Transactions!$A$5:$A$1004,"&lt;"&amp;DATE($C$3+1,1,1)))</f>
        <v>0</v>
      </c>
      <c r="J7" s="19">
        <f>IF(Properties!$B$12="",0,SUMIFS(Transactions!$E$5:$E$1004,Transactions!$B$5:$B$1004,Properties!$B$12,Transactions!$C$5:$C$1004,$B7,Transactions!$A$5:$A$1004,"&gt;="&amp;DATE($C$3,1,1),Transactions!$A$5:$A$1004,"&lt;"&amp;DATE($C$3+1,1,1)))</f>
        <v>0</v>
      </c>
      <c r="K7" s="19">
        <f>IF(Properties!$B$13="",0,SUMIFS(Transactions!$E$5:$E$1004,Transactions!$B$5:$B$1004,Properties!$B$13,Transactions!$C$5:$C$1004,$B7,Transactions!$A$5:$A$1004,"&gt;="&amp;DATE($C$3,1,1),Transactions!$A$5:$A$1004,"&lt;"&amp;DATE($C$3+1,1,1)))</f>
        <v>0</v>
      </c>
      <c r="L7" s="19">
        <f>IF(Properties!$B$14="",0,SUMIFS(Transactions!$E$5:$E$1004,Transactions!$B$5:$B$1004,Properties!$B$14,Transactions!$C$5:$C$1004,$B7,Transactions!$A$5:$A$1004,"&gt;="&amp;DATE($C$3,1,1),Transactions!$A$5:$A$1004,"&lt;"&amp;DATE($C$3+1,1,1)))</f>
        <v>0</v>
      </c>
      <c r="M7" s="20">
        <f t="shared" si="0"/>
        <v>0</v>
      </c>
    </row>
    <row r="8" spans="1:13" x14ac:dyDescent="0.35">
      <c r="A8" s="16" t="s">
        <v>109</v>
      </c>
      <c r="B8" s="16" t="s">
        <v>110</v>
      </c>
      <c r="C8" s="17">
        <f>IF(Properties!$B$5="",0,SUMIFS(Transactions!$E$5:$E$1004,Transactions!$B$5:$B$1004,Properties!$B$5,Transactions!$C$5:$C$1004,$B8,Transactions!$A$5:$A$1004,"&gt;="&amp;DATE($C$3,1,1),Transactions!$A$5:$A$1004,"&lt;"&amp;DATE($C$3+1,1,1)))</f>
        <v>0</v>
      </c>
      <c r="D8" s="17">
        <f>IF(Properties!$B$6="",0,SUMIFS(Transactions!$E$5:$E$1004,Transactions!$B$5:$B$1004,Properties!$B$6,Transactions!$C$5:$C$1004,$B8,Transactions!$A$5:$A$1004,"&gt;="&amp;DATE($C$3,1,1),Transactions!$A$5:$A$1004,"&lt;"&amp;DATE($C$3+1,1,1)))</f>
        <v>0</v>
      </c>
      <c r="E8" s="17">
        <f>IF(Properties!$B$7="",0,SUMIFS(Transactions!$E$5:$E$1004,Transactions!$B$5:$B$1004,Properties!$B$7,Transactions!$C$5:$C$1004,$B8,Transactions!$A$5:$A$1004,"&gt;="&amp;DATE($C$3,1,1),Transactions!$A$5:$A$1004,"&lt;"&amp;DATE($C$3+1,1,1)))</f>
        <v>0</v>
      </c>
      <c r="F8" s="17">
        <f>IF(Properties!$B$8="",0,SUMIFS(Transactions!$E$5:$E$1004,Transactions!$B$5:$B$1004,Properties!$B$8,Transactions!$C$5:$C$1004,$B8,Transactions!$A$5:$A$1004,"&gt;="&amp;DATE($C$3,1,1),Transactions!$A$5:$A$1004,"&lt;"&amp;DATE($C$3+1,1,1)))</f>
        <v>0</v>
      </c>
      <c r="G8" s="17">
        <f>IF(Properties!$B$9="",0,SUMIFS(Transactions!$E$5:$E$1004,Transactions!$B$5:$B$1004,Properties!$B$9,Transactions!$C$5:$C$1004,$B8,Transactions!$A$5:$A$1004,"&gt;="&amp;DATE($C$3,1,1),Transactions!$A$5:$A$1004,"&lt;"&amp;DATE($C$3+1,1,1)))</f>
        <v>0</v>
      </c>
      <c r="H8" s="17">
        <f>IF(Properties!$B$10="",0,SUMIFS(Transactions!$E$5:$E$1004,Transactions!$B$5:$B$1004,Properties!$B$10,Transactions!$C$5:$C$1004,$B8,Transactions!$A$5:$A$1004,"&gt;="&amp;DATE($C$3,1,1),Transactions!$A$5:$A$1004,"&lt;"&amp;DATE($C$3+1,1,1)))</f>
        <v>0</v>
      </c>
      <c r="I8" s="17">
        <f>IF(Properties!$B$11="",0,SUMIFS(Transactions!$E$5:$E$1004,Transactions!$B$5:$B$1004,Properties!$B$11,Transactions!$C$5:$C$1004,$B8,Transactions!$A$5:$A$1004,"&gt;="&amp;DATE($C$3,1,1),Transactions!$A$5:$A$1004,"&lt;"&amp;DATE($C$3+1,1,1)))</f>
        <v>0</v>
      </c>
      <c r="J8" s="17">
        <f>IF(Properties!$B$12="",0,SUMIFS(Transactions!$E$5:$E$1004,Transactions!$B$5:$B$1004,Properties!$B$12,Transactions!$C$5:$C$1004,$B8,Transactions!$A$5:$A$1004,"&gt;="&amp;DATE($C$3,1,1),Transactions!$A$5:$A$1004,"&lt;"&amp;DATE($C$3+1,1,1)))</f>
        <v>0</v>
      </c>
      <c r="K8" s="17">
        <f>IF(Properties!$B$13="",0,SUMIFS(Transactions!$E$5:$E$1004,Transactions!$B$5:$B$1004,Properties!$B$13,Transactions!$C$5:$C$1004,$B8,Transactions!$A$5:$A$1004,"&gt;="&amp;DATE($C$3,1,1),Transactions!$A$5:$A$1004,"&lt;"&amp;DATE($C$3+1,1,1)))</f>
        <v>0</v>
      </c>
      <c r="L8" s="17">
        <f>IF(Properties!$B$14="",0,SUMIFS(Transactions!$E$5:$E$1004,Transactions!$B$5:$B$1004,Properties!$B$14,Transactions!$C$5:$C$1004,$B8,Transactions!$A$5:$A$1004,"&gt;="&amp;DATE($C$3,1,1),Transactions!$A$5:$A$1004,"&lt;"&amp;DATE($C$3+1,1,1)))</f>
        <v>0</v>
      </c>
      <c r="M8" s="18">
        <f t="shared" si="0"/>
        <v>0</v>
      </c>
    </row>
    <row r="9" spans="1:13" x14ac:dyDescent="0.35">
      <c r="A9" s="8" t="s">
        <v>111</v>
      </c>
      <c r="B9" s="8" t="s">
        <v>112</v>
      </c>
      <c r="C9" s="19">
        <f>IF(Properties!$B$5="",0,SUMIFS(Transactions!$E$5:$E$1004,Transactions!$B$5:$B$1004,Properties!$B$5,Transactions!$C$5:$C$1004,$B9,Transactions!$A$5:$A$1004,"&gt;="&amp;DATE($C$3,1,1),Transactions!$A$5:$A$1004,"&lt;"&amp;DATE($C$3+1,1,1)))</f>
        <v>0</v>
      </c>
      <c r="D9" s="19">
        <f>IF(Properties!$B$6="",0,SUMIFS(Transactions!$E$5:$E$1004,Transactions!$B$5:$B$1004,Properties!$B$6,Transactions!$C$5:$C$1004,$B9,Transactions!$A$5:$A$1004,"&gt;="&amp;DATE($C$3,1,1),Transactions!$A$5:$A$1004,"&lt;"&amp;DATE($C$3+1,1,1)))</f>
        <v>0</v>
      </c>
      <c r="E9" s="19">
        <f>IF(Properties!$B$7="",0,SUMIFS(Transactions!$E$5:$E$1004,Transactions!$B$5:$B$1004,Properties!$B$7,Transactions!$C$5:$C$1004,$B9,Transactions!$A$5:$A$1004,"&gt;="&amp;DATE($C$3,1,1),Transactions!$A$5:$A$1004,"&lt;"&amp;DATE($C$3+1,1,1)))</f>
        <v>0</v>
      </c>
      <c r="F9" s="19">
        <f>IF(Properties!$B$8="",0,SUMIFS(Transactions!$E$5:$E$1004,Transactions!$B$5:$B$1004,Properties!$B$8,Transactions!$C$5:$C$1004,$B9,Transactions!$A$5:$A$1004,"&gt;="&amp;DATE($C$3,1,1),Transactions!$A$5:$A$1004,"&lt;"&amp;DATE($C$3+1,1,1)))</f>
        <v>0</v>
      </c>
      <c r="G9" s="19">
        <f>IF(Properties!$B$9="",0,SUMIFS(Transactions!$E$5:$E$1004,Transactions!$B$5:$B$1004,Properties!$B$9,Transactions!$C$5:$C$1004,$B9,Transactions!$A$5:$A$1004,"&gt;="&amp;DATE($C$3,1,1),Transactions!$A$5:$A$1004,"&lt;"&amp;DATE($C$3+1,1,1)))</f>
        <v>0</v>
      </c>
      <c r="H9" s="19">
        <f>IF(Properties!$B$10="",0,SUMIFS(Transactions!$E$5:$E$1004,Transactions!$B$5:$B$1004,Properties!$B$10,Transactions!$C$5:$C$1004,$B9,Transactions!$A$5:$A$1004,"&gt;="&amp;DATE($C$3,1,1),Transactions!$A$5:$A$1004,"&lt;"&amp;DATE($C$3+1,1,1)))</f>
        <v>0</v>
      </c>
      <c r="I9" s="19">
        <f>IF(Properties!$B$11="",0,SUMIFS(Transactions!$E$5:$E$1004,Transactions!$B$5:$B$1004,Properties!$B$11,Transactions!$C$5:$C$1004,$B9,Transactions!$A$5:$A$1004,"&gt;="&amp;DATE($C$3,1,1),Transactions!$A$5:$A$1004,"&lt;"&amp;DATE($C$3+1,1,1)))</f>
        <v>0</v>
      </c>
      <c r="J9" s="19">
        <f>IF(Properties!$B$12="",0,SUMIFS(Transactions!$E$5:$E$1004,Transactions!$B$5:$B$1004,Properties!$B$12,Transactions!$C$5:$C$1004,$B9,Transactions!$A$5:$A$1004,"&gt;="&amp;DATE($C$3,1,1),Transactions!$A$5:$A$1004,"&lt;"&amp;DATE($C$3+1,1,1)))</f>
        <v>0</v>
      </c>
      <c r="K9" s="19">
        <f>IF(Properties!$B$13="",0,SUMIFS(Transactions!$E$5:$E$1004,Transactions!$B$5:$B$1004,Properties!$B$13,Transactions!$C$5:$C$1004,$B9,Transactions!$A$5:$A$1004,"&gt;="&amp;DATE($C$3,1,1),Transactions!$A$5:$A$1004,"&lt;"&amp;DATE($C$3+1,1,1)))</f>
        <v>0</v>
      </c>
      <c r="L9" s="19">
        <f>IF(Properties!$B$14="",0,SUMIFS(Transactions!$E$5:$E$1004,Transactions!$B$5:$B$1004,Properties!$B$14,Transactions!$C$5:$C$1004,$B9,Transactions!$A$5:$A$1004,"&gt;="&amp;DATE($C$3,1,1),Transactions!$A$5:$A$1004,"&lt;"&amp;DATE($C$3+1,1,1)))</f>
        <v>0</v>
      </c>
      <c r="M9" s="20">
        <f t="shared" si="0"/>
        <v>0</v>
      </c>
    </row>
    <row r="10" spans="1:13" x14ac:dyDescent="0.35">
      <c r="A10" s="16" t="s">
        <v>113</v>
      </c>
      <c r="B10" s="16" t="s">
        <v>114</v>
      </c>
      <c r="C10" s="17">
        <f>IF(Properties!$B$5="",0,SUMIFS(Transactions!$E$5:$E$1004,Transactions!$B$5:$B$1004,Properties!$B$5,Transactions!$C$5:$C$1004,$B10,Transactions!$A$5:$A$1004,"&gt;="&amp;DATE($C$3,1,1),Transactions!$A$5:$A$1004,"&lt;"&amp;DATE($C$3+1,1,1)))</f>
        <v>0</v>
      </c>
      <c r="D10" s="17">
        <f>IF(Properties!$B$6="",0,SUMIFS(Transactions!$E$5:$E$1004,Transactions!$B$5:$B$1004,Properties!$B$6,Transactions!$C$5:$C$1004,$B10,Transactions!$A$5:$A$1004,"&gt;="&amp;DATE($C$3,1,1),Transactions!$A$5:$A$1004,"&lt;"&amp;DATE($C$3+1,1,1)))</f>
        <v>0</v>
      </c>
      <c r="E10" s="17">
        <f>IF(Properties!$B$7="",0,SUMIFS(Transactions!$E$5:$E$1004,Transactions!$B$5:$B$1004,Properties!$B$7,Transactions!$C$5:$C$1004,$B10,Transactions!$A$5:$A$1004,"&gt;="&amp;DATE($C$3,1,1),Transactions!$A$5:$A$1004,"&lt;"&amp;DATE($C$3+1,1,1)))</f>
        <v>0</v>
      </c>
      <c r="F10" s="17">
        <f>IF(Properties!$B$8="",0,SUMIFS(Transactions!$E$5:$E$1004,Transactions!$B$5:$B$1004,Properties!$B$8,Transactions!$C$5:$C$1004,$B10,Transactions!$A$5:$A$1004,"&gt;="&amp;DATE($C$3,1,1),Transactions!$A$5:$A$1004,"&lt;"&amp;DATE($C$3+1,1,1)))</f>
        <v>0</v>
      </c>
      <c r="G10" s="17">
        <f>IF(Properties!$B$9="",0,SUMIFS(Transactions!$E$5:$E$1004,Transactions!$B$5:$B$1004,Properties!$B$9,Transactions!$C$5:$C$1004,$B10,Transactions!$A$5:$A$1004,"&gt;="&amp;DATE($C$3,1,1),Transactions!$A$5:$A$1004,"&lt;"&amp;DATE($C$3+1,1,1)))</f>
        <v>0</v>
      </c>
      <c r="H10" s="17">
        <f>IF(Properties!$B$10="",0,SUMIFS(Transactions!$E$5:$E$1004,Transactions!$B$5:$B$1004,Properties!$B$10,Transactions!$C$5:$C$1004,$B10,Transactions!$A$5:$A$1004,"&gt;="&amp;DATE($C$3,1,1),Transactions!$A$5:$A$1004,"&lt;"&amp;DATE($C$3+1,1,1)))</f>
        <v>0</v>
      </c>
      <c r="I10" s="17">
        <f>IF(Properties!$B$11="",0,SUMIFS(Transactions!$E$5:$E$1004,Transactions!$B$5:$B$1004,Properties!$B$11,Transactions!$C$5:$C$1004,$B10,Transactions!$A$5:$A$1004,"&gt;="&amp;DATE($C$3,1,1),Transactions!$A$5:$A$1004,"&lt;"&amp;DATE($C$3+1,1,1)))</f>
        <v>0</v>
      </c>
      <c r="J10" s="17">
        <f>IF(Properties!$B$12="",0,SUMIFS(Transactions!$E$5:$E$1004,Transactions!$B$5:$B$1004,Properties!$B$12,Transactions!$C$5:$C$1004,$B10,Transactions!$A$5:$A$1004,"&gt;="&amp;DATE($C$3,1,1),Transactions!$A$5:$A$1004,"&lt;"&amp;DATE($C$3+1,1,1)))</f>
        <v>0</v>
      </c>
      <c r="K10" s="17">
        <f>IF(Properties!$B$13="",0,SUMIFS(Transactions!$E$5:$E$1004,Transactions!$B$5:$B$1004,Properties!$B$13,Transactions!$C$5:$C$1004,$B10,Transactions!$A$5:$A$1004,"&gt;="&amp;DATE($C$3,1,1),Transactions!$A$5:$A$1004,"&lt;"&amp;DATE($C$3+1,1,1)))</f>
        <v>0</v>
      </c>
      <c r="L10" s="17">
        <f>IF(Properties!$B$14="",0,SUMIFS(Transactions!$E$5:$E$1004,Transactions!$B$5:$B$1004,Properties!$B$14,Transactions!$C$5:$C$1004,$B10,Transactions!$A$5:$A$1004,"&gt;="&amp;DATE($C$3,1,1),Transactions!$A$5:$A$1004,"&lt;"&amp;DATE($C$3+1,1,1)))</f>
        <v>0</v>
      </c>
      <c r="M10" s="18">
        <f t="shared" si="0"/>
        <v>0</v>
      </c>
    </row>
    <row r="11" spans="1:13" x14ac:dyDescent="0.35">
      <c r="A11" s="8" t="s">
        <v>115</v>
      </c>
      <c r="B11" s="8" t="s">
        <v>116</v>
      </c>
      <c r="C11" s="19">
        <f>IF(Properties!$B$5="",0,SUMIFS(Transactions!$E$5:$E$1004,Transactions!$B$5:$B$1004,Properties!$B$5,Transactions!$C$5:$C$1004,$B11,Transactions!$A$5:$A$1004,"&gt;="&amp;DATE($C$3,1,1),Transactions!$A$5:$A$1004,"&lt;"&amp;DATE($C$3+1,1,1)))</f>
        <v>0</v>
      </c>
      <c r="D11" s="19">
        <f>IF(Properties!$B$6="",0,SUMIFS(Transactions!$E$5:$E$1004,Transactions!$B$5:$B$1004,Properties!$B$6,Transactions!$C$5:$C$1004,$B11,Transactions!$A$5:$A$1004,"&gt;="&amp;DATE($C$3,1,1),Transactions!$A$5:$A$1004,"&lt;"&amp;DATE($C$3+1,1,1)))</f>
        <v>0</v>
      </c>
      <c r="E11" s="19">
        <f>IF(Properties!$B$7="",0,SUMIFS(Transactions!$E$5:$E$1004,Transactions!$B$5:$B$1004,Properties!$B$7,Transactions!$C$5:$C$1004,$B11,Transactions!$A$5:$A$1004,"&gt;="&amp;DATE($C$3,1,1),Transactions!$A$5:$A$1004,"&lt;"&amp;DATE($C$3+1,1,1)))</f>
        <v>0</v>
      </c>
      <c r="F11" s="19">
        <f>IF(Properties!$B$8="",0,SUMIFS(Transactions!$E$5:$E$1004,Transactions!$B$5:$B$1004,Properties!$B$8,Transactions!$C$5:$C$1004,$B11,Transactions!$A$5:$A$1004,"&gt;="&amp;DATE($C$3,1,1),Transactions!$A$5:$A$1004,"&lt;"&amp;DATE($C$3+1,1,1)))</f>
        <v>0</v>
      </c>
      <c r="G11" s="19">
        <f>IF(Properties!$B$9="",0,SUMIFS(Transactions!$E$5:$E$1004,Transactions!$B$5:$B$1004,Properties!$B$9,Transactions!$C$5:$C$1004,$B11,Transactions!$A$5:$A$1004,"&gt;="&amp;DATE($C$3,1,1),Transactions!$A$5:$A$1004,"&lt;"&amp;DATE($C$3+1,1,1)))</f>
        <v>0</v>
      </c>
      <c r="H11" s="19">
        <f>IF(Properties!$B$10="",0,SUMIFS(Transactions!$E$5:$E$1004,Transactions!$B$5:$B$1004,Properties!$B$10,Transactions!$C$5:$C$1004,$B11,Transactions!$A$5:$A$1004,"&gt;="&amp;DATE($C$3,1,1),Transactions!$A$5:$A$1004,"&lt;"&amp;DATE($C$3+1,1,1)))</f>
        <v>0</v>
      </c>
      <c r="I11" s="19">
        <f>IF(Properties!$B$11="",0,SUMIFS(Transactions!$E$5:$E$1004,Transactions!$B$5:$B$1004,Properties!$B$11,Transactions!$C$5:$C$1004,$B11,Transactions!$A$5:$A$1004,"&gt;="&amp;DATE($C$3,1,1),Transactions!$A$5:$A$1004,"&lt;"&amp;DATE($C$3+1,1,1)))</f>
        <v>0</v>
      </c>
      <c r="J11" s="19">
        <f>IF(Properties!$B$12="",0,SUMIFS(Transactions!$E$5:$E$1004,Transactions!$B$5:$B$1004,Properties!$B$12,Transactions!$C$5:$C$1004,$B11,Transactions!$A$5:$A$1004,"&gt;="&amp;DATE($C$3,1,1),Transactions!$A$5:$A$1004,"&lt;"&amp;DATE($C$3+1,1,1)))</f>
        <v>0</v>
      </c>
      <c r="K11" s="19">
        <f>IF(Properties!$B$13="",0,SUMIFS(Transactions!$E$5:$E$1004,Transactions!$B$5:$B$1004,Properties!$B$13,Transactions!$C$5:$C$1004,$B11,Transactions!$A$5:$A$1004,"&gt;="&amp;DATE($C$3,1,1),Transactions!$A$5:$A$1004,"&lt;"&amp;DATE($C$3+1,1,1)))</f>
        <v>0</v>
      </c>
      <c r="L11" s="19">
        <f>IF(Properties!$B$14="",0,SUMIFS(Transactions!$E$5:$E$1004,Transactions!$B$5:$B$1004,Properties!$B$14,Transactions!$C$5:$C$1004,$B11,Transactions!$A$5:$A$1004,"&gt;="&amp;DATE($C$3,1,1),Transactions!$A$5:$A$1004,"&lt;"&amp;DATE($C$3+1,1,1)))</f>
        <v>0</v>
      </c>
      <c r="M11" s="20">
        <f t="shared" si="0"/>
        <v>0</v>
      </c>
    </row>
    <row r="12" spans="1:13" x14ac:dyDescent="0.35">
      <c r="A12" s="16" t="s">
        <v>117</v>
      </c>
      <c r="B12" s="16" t="s">
        <v>80</v>
      </c>
      <c r="C12" s="17">
        <f>IF(Properties!$B$5="",0,SUMIFS(Transactions!$E$5:$E$1004,Transactions!$B$5:$B$1004,Properties!$B$5,Transactions!$C$5:$C$1004,$B12,Transactions!$A$5:$A$1004,"&gt;="&amp;DATE($C$3,1,1),Transactions!$A$5:$A$1004,"&lt;"&amp;DATE($C$3+1,1,1)))</f>
        <v>1050</v>
      </c>
      <c r="D12" s="17">
        <f>IF(Properties!$B$6="",0,SUMIFS(Transactions!$E$5:$E$1004,Transactions!$B$5:$B$1004,Properties!$B$6,Transactions!$C$5:$C$1004,$B12,Transactions!$A$5:$A$1004,"&gt;="&amp;DATE($C$3,1,1),Transactions!$A$5:$A$1004,"&lt;"&amp;DATE($C$3+1,1,1)))</f>
        <v>0</v>
      </c>
      <c r="E12" s="17">
        <f>IF(Properties!$B$7="",0,SUMIFS(Transactions!$E$5:$E$1004,Transactions!$B$5:$B$1004,Properties!$B$7,Transactions!$C$5:$C$1004,$B12,Transactions!$A$5:$A$1004,"&gt;="&amp;DATE($C$3,1,1),Transactions!$A$5:$A$1004,"&lt;"&amp;DATE($C$3+1,1,1)))</f>
        <v>0</v>
      </c>
      <c r="F12" s="17">
        <f>IF(Properties!$B$8="",0,SUMIFS(Transactions!$E$5:$E$1004,Transactions!$B$5:$B$1004,Properties!$B$8,Transactions!$C$5:$C$1004,$B12,Transactions!$A$5:$A$1004,"&gt;="&amp;DATE($C$3,1,1),Transactions!$A$5:$A$1004,"&lt;"&amp;DATE($C$3+1,1,1)))</f>
        <v>0</v>
      </c>
      <c r="G12" s="17">
        <f>IF(Properties!$B$9="",0,SUMIFS(Transactions!$E$5:$E$1004,Transactions!$B$5:$B$1004,Properties!$B$9,Transactions!$C$5:$C$1004,$B12,Transactions!$A$5:$A$1004,"&gt;="&amp;DATE($C$3,1,1),Transactions!$A$5:$A$1004,"&lt;"&amp;DATE($C$3+1,1,1)))</f>
        <v>0</v>
      </c>
      <c r="H12" s="17">
        <f>IF(Properties!$B$10="",0,SUMIFS(Transactions!$E$5:$E$1004,Transactions!$B$5:$B$1004,Properties!$B$10,Transactions!$C$5:$C$1004,$B12,Transactions!$A$5:$A$1004,"&gt;="&amp;DATE($C$3,1,1),Transactions!$A$5:$A$1004,"&lt;"&amp;DATE($C$3+1,1,1)))</f>
        <v>0</v>
      </c>
      <c r="I12" s="17">
        <f>IF(Properties!$B$11="",0,SUMIFS(Transactions!$E$5:$E$1004,Transactions!$B$5:$B$1004,Properties!$B$11,Transactions!$C$5:$C$1004,$B12,Transactions!$A$5:$A$1004,"&gt;="&amp;DATE($C$3,1,1),Transactions!$A$5:$A$1004,"&lt;"&amp;DATE($C$3+1,1,1)))</f>
        <v>0</v>
      </c>
      <c r="J12" s="17">
        <f>IF(Properties!$B$12="",0,SUMIFS(Transactions!$E$5:$E$1004,Transactions!$B$5:$B$1004,Properties!$B$12,Transactions!$C$5:$C$1004,$B12,Transactions!$A$5:$A$1004,"&gt;="&amp;DATE($C$3,1,1),Transactions!$A$5:$A$1004,"&lt;"&amp;DATE($C$3+1,1,1)))</f>
        <v>0</v>
      </c>
      <c r="K12" s="17">
        <f>IF(Properties!$B$13="",0,SUMIFS(Transactions!$E$5:$E$1004,Transactions!$B$5:$B$1004,Properties!$B$13,Transactions!$C$5:$C$1004,$B12,Transactions!$A$5:$A$1004,"&gt;="&amp;DATE($C$3,1,1),Transactions!$A$5:$A$1004,"&lt;"&amp;DATE($C$3+1,1,1)))</f>
        <v>0</v>
      </c>
      <c r="L12" s="17">
        <f>IF(Properties!$B$14="",0,SUMIFS(Transactions!$E$5:$E$1004,Transactions!$B$5:$B$1004,Properties!$B$14,Transactions!$C$5:$C$1004,$B12,Transactions!$A$5:$A$1004,"&gt;="&amp;DATE($C$3,1,1),Transactions!$A$5:$A$1004,"&lt;"&amp;DATE($C$3+1,1,1)))</f>
        <v>0</v>
      </c>
      <c r="M12" s="18">
        <f t="shared" si="0"/>
        <v>1050</v>
      </c>
    </row>
    <row r="13" spans="1:13" x14ac:dyDescent="0.35">
      <c r="A13" s="8" t="s">
        <v>118</v>
      </c>
      <c r="B13" s="8" t="s">
        <v>119</v>
      </c>
      <c r="C13" s="19">
        <f>IF(Properties!$B$5="",0,SUMIFS(Transactions!$E$5:$E$1004,Transactions!$B$5:$B$1004,Properties!$B$5,Transactions!$C$5:$C$1004,$B13,Transactions!$A$5:$A$1004,"&gt;="&amp;DATE($C$3,1,1),Transactions!$A$5:$A$1004,"&lt;"&amp;DATE($C$3+1,1,1)))</f>
        <v>0</v>
      </c>
      <c r="D13" s="19">
        <f>IF(Properties!$B$6="",0,SUMIFS(Transactions!$E$5:$E$1004,Transactions!$B$5:$B$1004,Properties!$B$6,Transactions!$C$5:$C$1004,$B13,Transactions!$A$5:$A$1004,"&gt;="&amp;DATE($C$3,1,1),Transactions!$A$5:$A$1004,"&lt;"&amp;DATE($C$3+1,1,1)))</f>
        <v>0</v>
      </c>
      <c r="E13" s="19">
        <f>IF(Properties!$B$7="",0,SUMIFS(Transactions!$E$5:$E$1004,Transactions!$B$5:$B$1004,Properties!$B$7,Transactions!$C$5:$C$1004,$B13,Transactions!$A$5:$A$1004,"&gt;="&amp;DATE($C$3,1,1),Transactions!$A$5:$A$1004,"&lt;"&amp;DATE($C$3+1,1,1)))</f>
        <v>0</v>
      </c>
      <c r="F13" s="19">
        <f>IF(Properties!$B$8="",0,SUMIFS(Transactions!$E$5:$E$1004,Transactions!$B$5:$B$1004,Properties!$B$8,Transactions!$C$5:$C$1004,$B13,Transactions!$A$5:$A$1004,"&gt;="&amp;DATE($C$3,1,1),Transactions!$A$5:$A$1004,"&lt;"&amp;DATE($C$3+1,1,1)))</f>
        <v>0</v>
      </c>
      <c r="G13" s="19">
        <f>IF(Properties!$B$9="",0,SUMIFS(Transactions!$E$5:$E$1004,Transactions!$B$5:$B$1004,Properties!$B$9,Transactions!$C$5:$C$1004,$B13,Transactions!$A$5:$A$1004,"&gt;="&amp;DATE($C$3,1,1),Transactions!$A$5:$A$1004,"&lt;"&amp;DATE($C$3+1,1,1)))</f>
        <v>0</v>
      </c>
      <c r="H13" s="19">
        <f>IF(Properties!$B$10="",0,SUMIFS(Transactions!$E$5:$E$1004,Transactions!$B$5:$B$1004,Properties!$B$10,Transactions!$C$5:$C$1004,$B13,Transactions!$A$5:$A$1004,"&gt;="&amp;DATE($C$3,1,1),Transactions!$A$5:$A$1004,"&lt;"&amp;DATE($C$3+1,1,1)))</f>
        <v>0</v>
      </c>
      <c r="I13" s="19">
        <f>IF(Properties!$B$11="",0,SUMIFS(Transactions!$E$5:$E$1004,Transactions!$B$5:$B$1004,Properties!$B$11,Transactions!$C$5:$C$1004,$B13,Transactions!$A$5:$A$1004,"&gt;="&amp;DATE($C$3,1,1),Transactions!$A$5:$A$1004,"&lt;"&amp;DATE($C$3+1,1,1)))</f>
        <v>0</v>
      </c>
      <c r="J13" s="19">
        <f>IF(Properties!$B$12="",0,SUMIFS(Transactions!$E$5:$E$1004,Transactions!$B$5:$B$1004,Properties!$B$12,Transactions!$C$5:$C$1004,$B13,Transactions!$A$5:$A$1004,"&gt;="&amp;DATE($C$3,1,1),Transactions!$A$5:$A$1004,"&lt;"&amp;DATE($C$3+1,1,1)))</f>
        <v>0</v>
      </c>
      <c r="K13" s="19">
        <f>IF(Properties!$B$13="",0,SUMIFS(Transactions!$E$5:$E$1004,Transactions!$B$5:$B$1004,Properties!$B$13,Transactions!$C$5:$C$1004,$B13,Transactions!$A$5:$A$1004,"&gt;="&amp;DATE($C$3,1,1),Transactions!$A$5:$A$1004,"&lt;"&amp;DATE($C$3+1,1,1)))</f>
        <v>0</v>
      </c>
      <c r="L13" s="19">
        <f>IF(Properties!$B$14="",0,SUMIFS(Transactions!$E$5:$E$1004,Transactions!$B$5:$B$1004,Properties!$B$14,Transactions!$C$5:$C$1004,$B13,Transactions!$A$5:$A$1004,"&gt;="&amp;DATE($C$3,1,1),Transactions!$A$5:$A$1004,"&lt;"&amp;DATE($C$3+1,1,1)))</f>
        <v>0</v>
      </c>
      <c r="M13" s="20">
        <f t="shared" si="0"/>
        <v>0</v>
      </c>
    </row>
    <row r="14" spans="1:13" x14ac:dyDescent="0.35">
      <c r="A14" s="16" t="s">
        <v>120</v>
      </c>
      <c r="B14" s="16" t="s">
        <v>121</v>
      </c>
      <c r="C14" s="17">
        <f>IF(Properties!$B$5="",0,SUMIFS(Transactions!$E$5:$E$1004,Transactions!$B$5:$B$1004,Properties!$B$5,Transactions!$C$5:$C$1004,$B14,Transactions!$A$5:$A$1004,"&gt;="&amp;DATE($C$3,1,1),Transactions!$A$5:$A$1004,"&lt;"&amp;DATE($C$3+1,1,1)))</f>
        <v>0</v>
      </c>
      <c r="D14" s="17">
        <f>IF(Properties!$B$6="",0,SUMIFS(Transactions!$E$5:$E$1004,Transactions!$B$5:$B$1004,Properties!$B$6,Transactions!$C$5:$C$1004,$B14,Transactions!$A$5:$A$1004,"&gt;="&amp;DATE($C$3,1,1),Transactions!$A$5:$A$1004,"&lt;"&amp;DATE($C$3+1,1,1)))</f>
        <v>0</v>
      </c>
      <c r="E14" s="17">
        <f>IF(Properties!$B$7="",0,SUMIFS(Transactions!$E$5:$E$1004,Transactions!$B$5:$B$1004,Properties!$B$7,Transactions!$C$5:$C$1004,$B14,Transactions!$A$5:$A$1004,"&gt;="&amp;DATE($C$3,1,1),Transactions!$A$5:$A$1004,"&lt;"&amp;DATE($C$3+1,1,1)))</f>
        <v>0</v>
      </c>
      <c r="F14" s="17">
        <f>IF(Properties!$B$8="",0,SUMIFS(Transactions!$E$5:$E$1004,Transactions!$B$5:$B$1004,Properties!$B$8,Transactions!$C$5:$C$1004,$B14,Transactions!$A$5:$A$1004,"&gt;="&amp;DATE($C$3,1,1),Transactions!$A$5:$A$1004,"&lt;"&amp;DATE($C$3+1,1,1)))</f>
        <v>0</v>
      </c>
      <c r="G14" s="17">
        <f>IF(Properties!$B$9="",0,SUMIFS(Transactions!$E$5:$E$1004,Transactions!$B$5:$B$1004,Properties!$B$9,Transactions!$C$5:$C$1004,$B14,Transactions!$A$5:$A$1004,"&gt;="&amp;DATE($C$3,1,1),Transactions!$A$5:$A$1004,"&lt;"&amp;DATE($C$3+1,1,1)))</f>
        <v>0</v>
      </c>
      <c r="H14" s="17">
        <f>IF(Properties!$B$10="",0,SUMIFS(Transactions!$E$5:$E$1004,Transactions!$B$5:$B$1004,Properties!$B$10,Transactions!$C$5:$C$1004,$B14,Transactions!$A$5:$A$1004,"&gt;="&amp;DATE($C$3,1,1),Transactions!$A$5:$A$1004,"&lt;"&amp;DATE($C$3+1,1,1)))</f>
        <v>0</v>
      </c>
      <c r="I14" s="17">
        <f>IF(Properties!$B$11="",0,SUMIFS(Transactions!$E$5:$E$1004,Transactions!$B$5:$B$1004,Properties!$B$11,Transactions!$C$5:$C$1004,$B14,Transactions!$A$5:$A$1004,"&gt;="&amp;DATE($C$3,1,1),Transactions!$A$5:$A$1004,"&lt;"&amp;DATE($C$3+1,1,1)))</f>
        <v>0</v>
      </c>
      <c r="J14" s="17">
        <f>IF(Properties!$B$12="",0,SUMIFS(Transactions!$E$5:$E$1004,Transactions!$B$5:$B$1004,Properties!$B$12,Transactions!$C$5:$C$1004,$B14,Transactions!$A$5:$A$1004,"&gt;="&amp;DATE($C$3,1,1),Transactions!$A$5:$A$1004,"&lt;"&amp;DATE($C$3+1,1,1)))</f>
        <v>0</v>
      </c>
      <c r="K14" s="17">
        <f>IF(Properties!$B$13="",0,SUMIFS(Transactions!$E$5:$E$1004,Transactions!$B$5:$B$1004,Properties!$B$13,Transactions!$C$5:$C$1004,$B14,Transactions!$A$5:$A$1004,"&gt;="&amp;DATE($C$3,1,1),Transactions!$A$5:$A$1004,"&lt;"&amp;DATE($C$3+1,1,1)))</f>
        <v>0</v>
      </c>
      <c r="L14" s="17">
        <f>IF(Properties!$B$14="",0,SUMIFS(Transactions!$E$5:$E$1004,Transactions!$B$5:$B$1004,Properties!$B$14,Transactions!$C$5:$C$1004,$B14,Transactions!$A$5:$A$1004,"&gt;="&amp;DATE($C$3,1,1),Transactions!$A$5:$A$1004,"&lt;"&amp;DATE($C$3+1,1,1)))</f>
        <v>0</v>
      </c>
      <c r="M14" s="18">
        <f t="shared" si="0"/>
        <v>0</v>
      </c>
    </row>
    <row r="15" spans="1:13" x14ac:dyDescent="0.35">
      <c r="A15" s="8" t="s">
        <v>122</v>
      </c>
      <c r="B15" s="8" t="s">
        <v>77</v>
      </c>
      <c r="C15" s="19">
        <f>IF(Properties!$B$5="",0,SUMIFS(Transactions!$E$5:$E$1004,Transactions!$B$5:$B$1004,Properties!$B$5,Transactions!$C$5:$C$1004,$B15,Transactions!$A$5:$A$1004,"&gt;="&amp;DATE($C$3,1,1),Transactions!$A$5:$A$1004,"&lt;"&amp;DATE($C$3+1,1,1)))</f>
        <v>6123.9999999999991</v>
      </c>
      <c r="D15" s="19">
        <f>IF(Properties!$B$6="",0,SUMIFS(Transactions!$E$5:$E$1004,Transactions!$B$5:$B$1004,Properties!$B$6,Transactions!$C$5:$C$1004,$B15,Transactions!$A$5:$A$1004,"&gt;="&amp;DATE($C$3,1,1),Transactions!$A$5:$A$1004,"&lt;"&amp;DATE($C$3+1,1,1)))</f>
        <v>0</v>
      </c>
      <c r="E15" s="19">
        <f>IF(Properties!$B$7="",0,SUMIFS(Transactions!$E$5:$E$1004,Transactions!$B$5:$B$1004,Properties!$B$7,Transactions!$C$5:$C$1004,$B15,Transactions!$A$5:$A$1004,"&gt;="&amp;DATE($C$3,1,1),Transactions!$A$5:$A$1004,"&lt;"&amp;DATE($C$3+1,1,1)))</f>
        <v>0</v>
      </c>
      <c r="F15" s="19">
        <f>IF(Properties!$B$8="",0,SUMIFS(Transactions!$E$5:$E$1004,Transactions!$B$5:$B$1004,Properties!$B$8,Transactions!$C$5:$C$1004,$B15,Transactions!$A$5:$A$1004,"&gt;="&amp;DATE($C$3,1,1),Transactions!$A$5:$A$1004,"&lt;"&amp;DATE($C$3+1,1,1)))</f>
        <v>0</v>
      </c>
      <c r="G15" s="19">
        <f>IF(Properties!$B$9="",0,SUMIFS(Transactions!$E$5:$E$1004,Transactions!$B$5:$B$1004,Properties!$B$9,Transactions!$C$5:$C$1004,$B15,Transactions!$A$5:$A$1004,"&gt;="&amp;DATE($C$3,1,1),Transactions!$A$5:$A$1004,"&lt;"&amp;DATE($C$3+1,1,1)))</f>
        <v>0</v>
      </c>
      <c r="H15" s="19">
        <f>IF(Properties!$B$10="",0,SUMIFS(Transactions!$E$5:$E$1004,Transactions!$B$5:$B$1004,Properties!$B$10,Transactions!$C$5:$C$1004,$B15,Transactions!$A$5:$A$1004,"&gt;="&amp;DATE($C$3,1,1),Transactions!$A$5:$A$1004,"&lt;"&amp;DATE($C$3+1,1,1)))</f>
        <v>0</v>
      </c>
      <c r="I15" s="19">
        <f>IF(Properties!$B$11="",0,SUMIFS(Transactions!$E$5:$E$1004,Transactions!$B$5:$B$1004,Properties!$B$11,Transactions!$C$5:$C$1004,$B15,Transactions!$A$5:$A$1004,"&gt;="&amp;DATE($C$3,1,1),Transactions!$A$5:$A$1004,"&lt;"&amp;DATE($C$3+1,1,1)))</f>
        <v>0</v>
      </c>
      <c r="J15" s="19">
        <f>IF(Properties!$B$12="",0,SUMIFS(Transactions!$E$5:$E$1004,Transactions!$B$5:$B$1004,Properties!$B$12,Transactions!$C$5:$C$1004,$B15,Transactions!$A$5:$A$1004,"&gt;="&amp;DATE($C$3,1,1),Transactions!$A$5:$A$1004,"&lt;"&amp;DATE($C$3+1,1,1)))</f>
        <v>0</v>
      </c>
      <c r="K15" s="19">
        <f>IF(Properties!$B$13="",0,SUMIFS(Transactions!$E$5:$E$1004,Transactions!$B$5:$B$1004,Properties!$B$13,Transactions!$C$5:$C$1004,$B15,Transactions!$A$5:$A$1004,"&gt;="&amp;DATE($C$3,1,1),Transactions!$A$5:$A$1004,"&lt;"&amp;DATE($C$3+1,1,1)))</f>
        <v>0</v>
      </c>
      <c r="L15" s="19">
        <f>IF(Properties!$B$14="",0,SUMIFS(Transactions!$E$5:$E$1004,Transactions!$B$5:$B$1004,Properties!$B$14,Transactions!$C$5:$C$1004,$B15,Transactions!$A$5:$A$1004,"&gt;="&amp;DATE($C$3,1,1),Transactions!$A$5:$A$1004,"&lt;"&amp;DATE($C$3+1,1,1)))</f>
        <v>0</v>
      </c>
      <c r="M15" s="20">
        <f t="shared" si="0"/>
        <v>6123.9999999999991</v>
      </c>
    </row>
    <row r="16" spans="1:13" x14ac:dyDescent="0.35">
      <c r="A16" s="16" t="s">
        <v>123</v>
      </c>
      <c r="B16" s="16" t="s">
        <v>124</v>
      </c>
      <c r="C16" s="17">
        <f>IF(Properties!$B$5="",0,SUMIFS(Transactions!$E$5:$E$1004,Transactions!$B$5:$B$1004,Properties!$B$5,Transactions!$C$5:$C$1004,$B16,Transactions!$A$5:$A$1004,"&gt;="&amp;DATE($C$3,1,1),Transactions!$A$5:$A$1004,"&lt;"&amp;DATE($C$3+1,1,1)))</f>
        <v>0</v>
      </c>
      <c r="D16" s="17">
        <f>IF(Properties!$B$6="",0,SUMIFS(Transactions!$E$5:$E$1004,Transactions!$B$5:$B$1004,Properties!$B$6,Transactions!$C$5:$C$1004,$B16,Transactions!$A$5:$A$1004,"&gt;="&amp;DATE($C$3,1,1),Transactions!$A$5:$A$1004,"&lt;"&amp;DATE($C$3+1,1,1)))</f>
        <v>0</v>
      </c>
      <c r="E16" s="17">
        <f>IF(Properties!$B$7="",0,SUMIFS(Transactions!$E$5:$E$1004,Transactions!$B$5:$B$1004,Properties!$B$7,Transactions!$C$5:$C$1004,$B16,Transactions!$A$5:$A$1004,"&gt;="&amp;DATE($C$3,1,1),Transactions!$A$5:$A$1004,"&lt;"&amp;DATE($C$3+1,1,1)))</f>
        <v>0</v>
      </c>
      <c r="F16" s="17">
        <f>IF(Properties!$B$8="",0,SUMIFS(Transactions!$E$5:$E$1004,Transactions!$B$5:$B$1004,Properties!$B$8,Transactions!$C$5:$C$1004,$B16,Transactions!$A$5:$A$1004,"&gt;="&amp;DATE($C$3,1,1),Transactions!$A$5:$A$1004,"&lt;"&amp;DATE($C$3+1,1,1)))</f>
        <v>0</v>
      </c>
      <c r="G16" s="17">
        <f>IF(Properties!$B$9="",0,SUMIFS(Transactions!$E$5:$E$1004,Transactions!$B$5:$B$1004,Properties!$B$9,Transactions!$C$5:$C$1004,$B16,Transactions!$A$5:$A$1004,"&gt;="&amp;DATE($C$3,1,1),Transactions!$A$5:$A$1004,"&lt;"&amp;DATE($C$3+1,1,1)))</f>
        <v>0</v>
      </c>
      <c r="H16" s="17">
        <f>IF(Properties!$B$10="",0,SUMIFS(Transactions!$E$5:$E$1004,Transactions!$B$5:$B$1004,Properties!$B$10,Transactions!$C$5:$C$1004,$B16,Transactions!$A$5:$A$1004,"&gt;="&amp;DATE($C$3,1,1),Transactions!$A$5:$A$1004,"&lt;"&amp;DATE($C$3+1,1,1)))</f>
        <v>0</v>
      </c>
      <c r="I16" s="17">
        <f>IF(Properties!$B$11="",0,SUMIFS(Transactions!$E$5:$E$1004,Transactions!$B$5:$B$1004,Properties!$B$11,Transactions!$C$5:$C$1004,$B16,Transactions!$A$5:$A$1004,"&gt;="&amp;DATE($C$3,1,1),Transactions!$A$5:$A$1004,"&lt;"&amp;DATE($C$3+1,1,1)))</f>
        <v>0</v>
      </c>
      <c r="J16" s="17">
        <f>IF(Properties!$B$12="",0,SUMIFS(Transactions!$E$5:$E$1004,Transactions!$B$5:$B$1004,Properties!$B$12,Transactions!$C$5:$C$1004,$B16,Transactions!$A$5:$A$1004,"&gt;="&amp;DATE($C$3,1,1),Transactions!$A$5:$A$1004,"&lt;"&amp;DATE($C$3+1,1,1)))</f>
        <v>0</v>
      </c>
      <c r="K16" s="17">
        <f>IF(Properties!$B$13="",0,SUMIFS(Transactions!$E$5:$E$1004,Transactions!$B$5:$B$1004,Properties!$B$13,Transactions!$C$5:$C$1004,$B16,Transactions!$A$5:$A$1004,"&gt;="&amp;DATE($C$3,1,1),Transactions!$A$5:$A$1004,"&lt;"&amp;DATE($C$3+1,1,1)))</f>
        <v>0</v>
      </c>
      <c r="L16" s="17">
        <f>IF(Properties!$B$14="",0,SUMIFS(Transactions!$E$5:$E$1004,Transactions!$B$5:$B$1004,Properties!$B$14,Transactions!$C$5:$C$1004,$B16,Transactions!$A$5:$A$1004,"&gt;="&amp;DATE($C$3,1,1),Transactions!$A$5:$A$1004,"&lt;"&amp;DATE($C$3+1,1,1)))</f>
        <v>0</v>
      </c>
      <c r="M16" s="18">
        <f t="shared" si="0"/>
        <v>0</v>
      </c>
    </row>
    <row r="17" spans="1:13" x14ac:dyDescent="0.35">
      <c r="A17" s="8" t="s">
        <v>125</v>
      </c>
      <c r="B17" s="8" t="s">
        <v>75</v>
      </c>
      <c r="C17" s="19">
        <f>IF(Properties!$B$5="",0,SUMIFS(Transactions!$E$5:$E$1004,Transactions!$B$5:$B$1004,Properties!$B$5,Transactions!$C$5:$C$1004,$B17,Transactions!$A$5:$A$1004,"&gt;="&amp;DATE($C$3,1,1),Transactions!$A$5:$A$1004,"&lt;"&amp;DATE($C$3+1,1,1)))</f>
        <v>215</v>
      </c>
      <c r="D17" s="19">
        <f>IF(Properties!$B$6="",0,SUMIFS(Transactions!$E$5:$E$1004,Transactions!$B$5:$B$1004,Properties!$B$6,Transactions!$C$5:$C$1004,$B17,Transactions!$A$5:$A$1004,"&gt;="&amp;DATE($C$3,1,1),Transactions!$A$5:$A$1004,"&lt;"&amp;DATE($C$3+1,1,1)))</f>
        <v>0</v>
      </c>
      <c r="E17" s="19">
        <f>IF(Properties!$B$7="",0,SUMIFS(Transactions!$E$5:$E$1004,Transactions!$B$5:$B$1004,Properties!$B$7,Transactions!$C$5:$C$1004,$B17,Transactions!$A$5:$A$1004,"&gt;="&amp;DATE($C$3,1,1),Transactions!$A$5:$A$1004,"&lt;"&amp;DATE($C$3+1,1,1)))</f>
        <v>0</v>
      </c>
      <c r="F17" s="19">
        <f>IF(Properties!$B$8="",0,SUMIFS(Transactions!$E$5:$E$1004,Transactions!$B$5:$B$1004,Properties!$B$8,Transactions!$C$5:$C$1004,$B17,Transactions!$A$5:$A$1004,"&gt;="&amp;DATE($C$3,1,1),Transactions!$A$5:$A$1004,"&lt;"&amp;DATE($C$3+1,1,1)))</f>
        <v>0</v>
      </c>
      <c r="G17" s="19">
        <f>IF(Properties!$B$9="",0,SUMIFS(Transactions!$E$5:$E$1004,Transactions!$B$5:$B$1004,Properties!$B$9,Transactions!$C$5:$C$1004,$B17,Transactions!$A$5:$A$1004,"&gt;="&amp;DATE($C$3,1,1),Transactions!$A$5:$A$1004,"&lt;"&amp;DATE($C$3+1,1,1)))</f>
        <v>0</v>
      </c>
      <c r="H17" s="19">
        <f>IF(Properties!$B$10="",0,SUMIFS(Transactions!$E$5:$E$1004,Transactions!$B$5:$B$1004,Properties!$B$10,Transactions!$C$5:$C$1004,$B17,Transactions!$A$5:$A$1004,"&gt;="&amp;DATE($C$3,1,1),Transactions!$A$5:$A$1004,"&lt;"&amp;DATE($C$3+1,1,1)))</f>
        <v>0</v>
      </c>
      <c r="I17" s="19">
        <f>IF(Properties!$B$11="",0,SUMIFS(Transactions!$E$5:$E$1004,Transactions!$B$5:$B$1004,Properties!$B$11,Transactions!$C$5:$C$1004,$B17,Transactions!$A$5:$A$1004,"&gt;="&amp;DATE($C$3,1,1),Transactions!$A$5:$A$1004,"&lt;"&amp;DATE($C$3+1,1,1)))</f>
        <v>0</v>
      </c>
      <c r="J17" s="19">
        <f>IF(Properties!$B$12="",0,SUMIFS(Transactions!$E$5:$E$1004,Transactions!$B$5:$B$1004,Properties!$B$12,Transactions!$C$5:$C$1004,$B17,Transactions!$A$5:$A$1004,"&gt;="&amp;DATE($C$3,1,1),Transactions!$A$5:$A$1004,"&lt;"&amp;DATE($C$3+1,1,1)))</f>
        <v>0</v>
      </c>
      <c r="K17" s="19">
        <f>IF(Properties!$B$13="",0,SUMIFS(Transactions!$E$5:$E$1004,Transactions!$B$5:$B$1004,Properties!$B$13,Transactions!$C$5:$C$1004,$B17,Transactions!$A$5:$A$1004,"&gt;="&amp;DATE($C$3,1,1),Transactions!$A$5:$A$1004,"&lt;"&amp;DATE($C$3+1,1,1)))</f>
        <v>0</v>
      </c>
      <c r="L17" s="19">
        <f>IF(Properties!$B$14="",0,SUMIFS(Transactions!$E$5:$E$1004,Transactions!$B$5:$B$1004,Properties!$B$14,Transactions!$C$5:$C$1004,$B17,Transactions!$A$5:$A$1004,"&gt;="&amp;DATE($C$3,1,1),Transactions!$A$5:$A$1004,"&lt;"&amp;DATE($C$3+1,1,1)))</f>
        <v>0</v>
      </c>
      <c r="M17" s="20">
        <f t="shared" si="0"/>
        <v>215</v>
      </c>
    </row>
    <row r="18" spans="1:13" x14ac:dyDescent="0.35">
      <c r="A18" s="16" t="s">
        <v>126</v>
      </c>
      <c r="B18" s="16" t="s">
        <v>127</v>
      </c>
      <c r="C18" s="17">
        <f>IF(Properties!$B$5="",0,SUMIFS(Transactions!$E$5:$E$1004,Transactions!$B$5:$B$1004,Properties!$B$5,Transactions!$C$5:$C$1004,$B18,Transactions!$A$5:$A$1004,"&gt;="&amp;DATE($C$3,1,1),Transactions!$A$5:$A$1004,"&lt;"&amp;DATE($C$3+1,1,1)))</f>
        <v>0</v>
      </c>
      <c r="D18" s="17">
        <f>IF(Properties!$B$6="",0,SUMIFS(Transactions!$E$5:$E$1004,Transactions!$B$5:$B$1004,Properties!$B$6,Transactions!$C$5:$C$1004,$B18,Transactions!$A$5:$A$1004,"&gt;="&amp;DATE($C$3,1,1),Transactions!$A$5:$A$1004,"&lt;"&amp;DATE($C$3+1,1,1)))</f>
        <v>0</v>
      </c>
      <c r="E18" s="17">
        <f>IF(Properties!$B$7="",0,SUMIFS(Transactions!$E$5:$E$1004,Transactions!$B$5:$B$1004,Properties!$B$7,Transactions!$C$5:$C$1004,$B18,Transactions!$A$5:$A$1004,"&gt;="&amp;DATE($C$3,1,1),Transactions!$A$5:$A$1004,"&lt;"&amp;DATE($C$3+1,1,1)))</f>
        <v>0</v>
      </c>
      <c r="F18" s="17">
        <f>IF(Properties!$B$8="",0,SUMIFS(Transactions!$E$5:$E$1004,Transactions!$B$5:$B$1004,Properties!$B$8,Transactions!$C$5:$C$1004,$B18,Transactions!$A$5:$A$1004,"&gt;="&amp;DATE($C$3,1,1),Transactions!$A$5:$A$1004,"&lt;"&amp;DATE($C$3+1,1,1)))</f>
        <v>0</v>
      </c>
      <c r="G18" s="17">
        <f>IF(Properties!$B$9="",0,SUMIFS(Transactions!$E$5:$E$1004,Transactions!$B$5:$B$1004,Properties!$B$9,Transactions!$C$5:$C$1004,$B18,Transactions!$A$5:$A$1004,"&gt;="&amp;DATE($C$3,1,1),Transactions!$A$5:$A$1004,"&lt;"&amp;DATE($C$3+1,1,1)))</f>
        <v>0</v>
      </c>
      <c r="H18" s="17">
        <f>IF(Properties!$B$10="",0,SUMIFS(Transactions!$E$5:$E$1004,Transactions!$B$5:$B$1004,Properties!$B$10,Transactions!$C$5:$C$1004,$B18,Transactions!$A$5:$A$1004,"&gt;="&amp;DATE($C$3,1,1),Transactions!$A$5:$A$1004,"&lt;"&amp;DATE($C$3+1,1,1)))</f>
        <v>0</v>
      </c>
      <c r="I18" s="17">
        <f>IF(Properties!$B$11="",0,SUMIFS(Transactions!$E$5:$E$1004,Transactions!$B$5:$B$1004,Properties!$B$11,Transactions!$C$5:$C$1004,$B18,Transactions!$A$5:$A$1004,"&gt;="&amp;DATE($C$3,1,1),Transactions!$A$5:$A$1004,"&lt;"&amp;DATE($C$3+1,1,1)))</f>
        <v>0</v>
      </c>
      <c r="J18" s="17">
        <f>IF(Properties!$B$12="",0,SUMIFS(Transactions!$E$5:$E$1004,Transactions!$B$5:$B$1004,Properties!$B$12,Transactions!$C$5:$C$1004,$B18,Transactions!$A$5:$A$1004,"&gt;="&amp;DATE($C$3,1,1),Transactions!$A$5:$A$1004,"&lt;"&amp;DATE($C$3+1,1,1)))</f>
        <v>0</v>
      </c>
      <c r="K18" s="17">
        <f>IF(Properties!$B$13="",0,SUMIFS(Transactions!$E$5:$E$1004,Transactions!$B$5:$B$1004,Properties!$B$13,Transactions!$C$5:$C$1004,$B18,Transactions!$A$5:$A$1004,"&gt;="&amp;DATE($C$3,1,1),Transactions!$A$5:$A$1004,"&lt;"&amp;DATE($C$3+1,1,1)))</f>
        <v>0</v>
      </c>
      <c r="L18" s="17">
        <f>IF(Properties!$B$14="",0,SUMIFS(Transactions!$E$5:$E$1004,Transactions!$B$5:$B$1004,Properties!$B$14,Transactions!$C$5:$C$1004,$B18,Transactions!$A$5:$A$1004,"&gt;="&amp;DATE($C$3,1,1),Transactions!$A$5:$A$1004,"&lt;"&amp;DATE($C$3+1,1,1)))</f>
        <v>0</v>
      </c>
      <c r="M18" s="18">
        <f t="shared" si="0"/>
        <v>0</v>
      </c>
    </row>
    <row r="19" spans="1:13" x14ac:dyDescent="0.35">
      <c r="A19" s="8" t="s">
        <v>128</v>
      </c>
      <c r="B19" s="8" t="s">
        <v>86</v>
      </c>
      <c r="C19" s="19">
        <f>IF(Properties!$B$5="",0,SUMIFS(Transactions!$E$5:$E$1004,Transactions!$B$5:$B$1004,Properties!$B$5,Transactions!$C$5:$C$1004,$B19,Transactions!$A$5:$A$1004,"&gt;="&amp;DATE($C$3,1,1),Transactions!$A$5:$A$1004,"&lt;"&amp;DATE($C$3+1,1,1)))</f>
        <v>2850</v>
      </c>
      <c r="D19" s="19">
        <f>IF(Properties!$B$6="",0,SUMIFS(Transactions!$E$5:$E$1004,Transactions!$B$5:$B$1004,Properties!$B$6,Transactions!$C$5:$C$1004,$B19,Transactions!$A$5:$A$1004,"&gt;="&amp;DATE($C$3,1,1),Transactions!$A$5:$A$1004,"&lt;"&amp;DATE($C$3+1,1,1)))</f>
        <v>0</v>
      </c>
      <c r="E19" s="19">
        <f>IF(Properties!$B$7="",0,SUMIFS(Transactions!$E$5:$E$1004,Transactions!$B$5:$B$1004,Properties!$B$7,Transactions!$C$5:$C$1004,$B19,Transactions!$A$5:$A$1004,"&gt;="&amp;DATE($C$3,1,1),Transactions!$A$5:$A$1004,"&lt;"&amp;DATE($C$3+1,1,1)))</f>
        <v>0</v>
      </c>
      <c r="F19" s="19">
        <f>IF(Properties!$B$8="",0,SUMIFS(Transactions!$E$5:$E$1004,Transactions!$B$5:$B$1004,Properties!$B$8,Transactions!$C$5:$C$1004,$B19,Transactions!$A$5:$A$1004,"&gt;="&amp;DATE($C$3,1,1),Transactions!$A$5:$A$1004,"&lt;"&amp;DATE($C$3+1,1,1)))</f>
        <v>0</v>
      </c>
      <c r="G19" s="19">
        <f>IF(Properties!$B$9="",0,SUMIFS(Transactions!$E$5:$E$1004,Transactions!$B$5:$B$1004,Properties!$B$9,Transactions!$C$5:$C$1004,$B19,Transactions!$A$5:$A$1004,"&gt;="&amp;DATE($C$3,1,1),Transactions!$A$5:$A$1004,"&lt;"&amp;DATE($C$3+1,1,1)))</f>
        <v>0</v>
      </c>
      <c r="H19" s="19">
        <f>IF(Properties!$B$10="",0,SUMIFS(Transactions!$E$5:$E$1004,Transactions!$B$5:$B$1004,Properties!$B$10,Transactions!$C$5:$C$1004,$B19,Transactions!$A$5:$A$1004,"&gt;="&amp;DATE($C$3,1,1),Transactions!$A$5:$A$1004,"&lt;"&amp;DATE($C$3+1,1,1)))</f>
        <v>0</v>
      </c>
      <c r="I19" s="19">
        <f>IF(Properties!$B$11="",0,SUMIFS(Transactions!$E$5:$E$1004,Transactions!$B$5:$B$1004,Properties!$B$11,Transactions!$C$5:$C$1004,$B19,Transactions!$A$5:$A$1004,"&gt;="&amp;DATE($C$3,1,1),Transactions!$A$5:$A$1004,"&lt;"&amp;DATE($C$3+1,1,1)))</f>
        <v>0</v>
      </c>
      <c r="J19" s="19">
        <f>IF(Properties!$B$12="",0,SUMIFS(Transactions!$E$5:$E$1004,Transactions!$B$5:$B$1004,Properties!$B$12,Transactions!$C$5:$C$1004,$B19,Transactions!$A$5:$A$1004,"&gt;="&amp;DATE($C$3,1,1),Transactions!$A$5:$A$1004,"&lt;"&amp;DATE($C$3+1,1,1)))</f>
        <v>0</v>
      </c>
      <c r="K19" s="19">
        <f>IF(Properties!$B$13="",0,SUMIFS(Transactions!$E$5:$E$1004,Transactions!$B$5:$B$1004,Properties!$B$13,Transactions!$C$5:$C$1004,$B19,Transactions!$A$5:$A$1004,"&gt;="&amp;DATE($C$3,1,1),Transactions!$A$5:$A$1004,"&lt;"&amp;DATE($C$3+1,1,1)))</f>
        <v>0</v>
      </c>
      <c r="L19" s="19">
        <f>IF(Properties!$B$14="",0,SUMIFS(Transactions!$E$5:$E$1004,Transactions!$B$5:$B$1004,Properties!$B$14,Transactions!$C$5:$C$1004,$B19,Transactions!$A$5:$A$1004,"&gt;="&amp;DATE($C$3,1,1),Transactions!$A$5:$A$1004,"&lt;"&amp;DATE($C$3+1,1,1)))</f>
        <v>0</v>
      </c>
      <c r="M19" s="20">
        <f t="shared" si="0"/>
        <v>2850</v>
      </c>
    </row>
    <row r="20" spans="1:13" x14ac:dyDescent="0.35">
      <c r="A20" s="16" t="s">
        <v>129</v>
      </c>
      <c r="B20" s="16" t="s">
        <v>130</v>
      </c>
      <c r="C20" s="17">
        <f>IF(Properties!$B$5="",0,SUMIFS(Transactions!$E$5:$E$1004,Transactions!$B$5:$B$1004,Properties!$B$5,Transactions!$C$5:$C$1004,$B20,Transactions!$A$5:$A$1004,"&gt;="&amp;DATE($C$3,1,1),Transactions!$A$5:$A$1004,"&lt;"&amp;DATE($C$3+1,1,1)))</f>
        <v>0</v>
      </c>
      <c r="D20" s="17">
        <f>IF(Properties!$B$6="",0,SUMIFS(Transactions!$E$5:$E$1004,Transactions!$B$5:$B$1004,Properties!$B$6,Transactions!$C$5:$C$1004,$B20,Transactions!$A$5:$A$1004,"&gt;="&amp;DATE($C$3,1,1),Transactions!$A$5:$A$1004,"&lt;"&amp;DATE($C$3+1,1,1)))</f>
        <v>0</v>
      </c>
      <c r="E20" s="17">
        <f>IF(Properties!$B$7="",0,SUMIFS(Transactions!$E$5:$E$1004,Transactions!$B$5:$B$1004,Properties!$B$7,Transactions!$C$5:$C$1004,$B20,Transactions!$A$5:$A$1004,"&gt;="&amp;DATE($C$3,1,1),Transactions!$A$5:$A$1004,"&lt;"&amp;DATE($C$3+1,1,1)))</f>
        <v>0</v>
      </c>
      <c r="F20" s="17">
        <f>IF(Properties!$B$8="",0,SUMIFS(Transactions!$E$5:$E$1004,Transactions!$B$5:$B$1004,Properties!$B$8,Transactions!$C$5:$C$1004,$B20,Transactions!$A$5:$A$1004,"&gt;="&amp;DATE($C$3,1,1),Transactions!$A$5:$A$1004,"&lt;"&amp;DATE($C$3+1,1,1)))</f>
        <v>0</v>
      </c>
      <c r="G20" s="17">
        <f>IF(Properties!$B$9="",0,SUMIFS(Transactions!$E$5:$E$1004,Transactions!$B$5:$B$1004,Properties!$B$9,Transactions!$C$5:$C$1004,$B20,Transactions!$A$5:$A$1004,"&gt;="&amp;DATE($C$3,1,1),Transactions!$A$5:$A$1004,"&lt;"&amp;DATE($C$3+1,1,1)))</f>
        <v>0</v>
      </c>
      <c r="H20" s="17">
        <f>IF(Properties!$B$10="",0,SUMIFS(Transactions!$E$5:$E$1004,Transactions!$B$5:$B$1004,Properties!$B$10,Transactions!$C$5:$C$1004,$B20,Transactions!$A$5:$A$1004,"&gt;="&amp;DATE($C$3,1,1),Transactions!$A$5:$A$1004,"&lt;"&amp;DATE($C$3+1,1,1)))</f>
        <v>0</v>
      </c>
      <c r="I20" s="17">
        <f>IF(Properties!$B$11="",0,SUMIFS(Transactions!$E$5:$E$1004,Transactions!$B$5:$B$1004,Properties!$B$11,Transactions!$C$5:$C$1004,$B20,Transactions!$A$5:$A$1004,"&gt;="&amp;DATE($C$3,1,1),Transactions!$A$5:$A$1004,"&lt;"&amp;DATE($C$3+1,1,1)))</f>
        <v>0</v>
      </c>
      <c r="J20" s="17">
        <f>IF(Properties!$B$12="",0,SUMIFS(Transactions!$E$5:$E$1004,Transactions!$B$5:$B$1004,Properties!$B$12,Transactions!$C$5:$C$1004,$B20,Transactions!$A$5:$A$1004,"&gt;="&amp;DATE($C$3,1,1),Transactions!$A$5:$A$1004,"&lt;"&amp;DATE($C$3+1,1,1)))</f>
        <v>0</v>
      </c>
      <c r="K20" s="17">
        <f>IF(Properties!$B$13="",0,SUMIFS(Transactions!$E$5:$E$1004,Transactions!$B$5:$B$1004,Properties!$B$13,Transactions!$C$5:$C$1004,$B20,Transactions!$A$5:$A$1004,"&gt;="&amp;DATE($C$3,1,1),Transactions!$A$5:$A$1004,"&lt;"&amp;DATE($C$3+1,1,1)))</f>
        <v>0</v>
      </c>
      <c r="L20" s="17">
        <f>IF(Properties!$B$14="",0,SUMIFS(Transactions!$E$5:$E$1004,Transactions!$B$5:$B$1004,Properties!$B$14,Transactions!$C$5:$C$1004,$B20,Transactions!$A$5:$A$1004,"&gt;="&amp;DATE($C$3,1,1),Transactions!$A$5:$A$1004,"&lt;"&amp;DATE($C$3+1,1,1)))</f>
        <v>0</v>
      </c>
      <c r="M20" s="18">
        <f t="shared" si="0"/>
        <v>0</v>
      </c>
    </row>
    <row r="21" spans="1:13" x14ac:dyDescent="0.35">
      <c r="A21" s="8" t="s">
        <v>131</v>
      </c>
      <c r="B21" s="8" t="s">
        <v>132</v>
      </c>
      <c r="C21" s="19">
        <f>IF(Properties!$B$5="",0,SUMIFS(Transactions!$E$5:$E$1004,Transactions!$B$5:$B$1004,Properties!$B$5,Transactions!$C$5:$C$1004,$B21,Transactions!$A$5:$A$1004,"&gt;="&amp;DATE($C$3,1,1),Transactions!$A$5:$A$1004,"&lt;"&amp;DATE($C$3+1,1,1)))</f>
        <v>0</v>
      </c>
      <c r="D21" s="19">
        <f>IF(Properties!$B$6="",0,SUMIFS(Transactions!$E$5:$E$1004,Transactions!$B$5:$B$1004,Properties!$B$6,Transactions!$C$5:$C$1004,$B21,Transactions!$A$5:$A$1004,"&gt;="&amp;DATE($C$3,1,1),Transactions!$A$5:$A$1004,"&lt;"&amp;DATE($C$3+1,1,1)))</f>
        <v>0</v>
      </c>
      <c r="E21" s="19">
        <f>IF(Properties!$B$7="",0,SUMIFS(Transactions!$E$5:$E$1004,Transactions!$B$5:$B$1004,Properties!$B$7,Transactions!$C$5:$C$1004,$B21,Transactions!$A$5:$A$1004,"&gt;="&amp;DATE($C$3,1,1),Transactions!$A$5:$A$1004,"&lt;"&amp;DATE($C$3+1,1,1)))</f>
        <v>0</v>
      </c>
      <c r="F21" s="19">
        <f>IF(Properties!$B$8="",0,SUMIFS(Transactions!$E$5:$E$1004,Transactions!$B$5:$B$1004,Properties!$B$8,Transactions!$C$5:$C$1004,$B21,Transactions!$A$5:$A$1004,"&gt;="&amp;DATE($C$3,1,1),Transactions!$A$5:$A$1004,"&lt;"&amp;DATE($C$3+1,1,1)))</f>
        <v>0</v>
      </c>
      <c r="G21" s="19">
        <f>IF(Properties!$B$9="",0,SUMIFS(Transactions!$E$5:$E$1004,Transactions!$B$5:$B$1004,Properties!$B$9,Transactions!$C$5:$C$1004,$B21,Transactions!$A$5:$A$1004,"&gt;="&amp;DATE($C$3,1,1),Transactions!$A$5:$A$1004,"&lt;"&amp;DATE($C$3+1,1,1)))</f>
        <v>0</v>
      </c>
      <c r="H21" s="19">
        <f>IF(Properties!$B$10="",0,SUMIFS(Transactions!$E$5:$E$1004,Transactions!$B$5:$B$1004,Properties!$B$10,Transactions!$C$5:$C$1004,$B21,Transactions!$A$5:$A$1004,"&gt;="&amp;DATE($C$3,1,1),Transactions!$A$5:$A$1004,"&lt;"&amp;DATE($C$3+1,1,1)))</f>
        <v>0</v>
      </c>
      <c r="I21" s="19">
        <f>IF(Properties!$B$11="",0,SUMIFS(Transactions!$E$5:$E$1004,Transactions!$B$5:$B$1004,Properties!$B$11,Transactions!$C$5:$C$1004,$B21,Transactions!$A$5:$A$1004,"&gt;="&amp;DATE($C$3,1,1),Transactions!$A$5:$A$1004,"&lt;"&amp;DATE($C$3+1,1,1)))</f>
        <v>0</v>
      </c>
      <c r="J21" s="19">
        <f>IF(Properties!$B$12="",0,SUMIFS(Transactions!$E$5:$E$1004,Transactions!$B$5:$B$1004,Properties!$B$12,Transactions!$C$5:$C$1004,$B21,Transactions!$A$5:$A$1004,"&gt;="&amp;DATE($C$3,1,1),Transactions!$A$5:$A$1004,"&lt;"&amp;DATE($C$3+1,1,1)))</f>
        <v>0</v>
      </c>
      <c r="K21" s="19">
        <f>IF(Properties!$B$13="",0,SUMIFS(Transactions!$E$5:$E$1004,Transactions!$B$5:$B$1004,Properties!$B$13,Transactions!$C$5:$C$1004,$B21,Transactions!$A$5:$A$1004,"&gt;="&amp;DATE($C$3,1,1),Transactions!$A$5:$A$1004,"&lt;"&amp;DATE($C$3+1,1,1)))</f>
        <v>0</v>
      </c>
      <c r="L21" s="19">
        <f>IF(Properties!$B$14="",0,SUMIFS(Transactions!$E$5:$E$1004,Transactions!$B$5:$B$1004,Properties!$B$14,Transactions!$C$5:$C$1004,$B21,Transactions!$A$5:$A$1004,"&gt;="&amp;DATE($C$3,1,1),Transactions!$A$5:$A$1004,"&lt;"&amp;DATE($C$3+1,1,1)))</f>
        <v>0</v>
      </c>
      <c r="M21" s="20">
        <f t="shared" si="0"/>
        <v>0</v>
      </c>
    </row>
    <row r="22" spans="1:13" x14ac:dyDescent="0.35">
      <c r="A22" s="8" t="s">
        <v>133</v>
      </c>
      <c r="B22" s="8" t="s">
        <v>134</v>
      </c>
      <c r="C22" s="21">
        <f>Properties!I5</f>
        <v>8181.818181818182</v>
      </c>
      <c r="D22" s="21">
        <f>Properties!I6</f>
        <v>0</v>
      </c>
      <c r="E22" s="21">
        <f>Properties!I7</f>
        <v>0</v>
      </c>
      <c r="F22" s="21">
        <f>Properties!I8</f>
        <v>0</v>
      </c>
      <c r="G22" s="21">
        <f>Properties!I9</f>
        <v>0</v>
      </c>
      <c r="H22" s="21">
        <f>Properties!I10</f>
        <v>0</v>
      </c>
      <c r="I22" s="21">
        <f>Properties!I11</f>
        <v>0</v>
      </c>
      <c r="J22" s="21">
        <f>Properties!I12</f>
        <v>0</v>
      </c>
      <c r="K22" s="21">
        <f>Properties!I13</f>
        <v>0</v>
      </c>
      <c r="L22" s="21">
        <f>Properties!I14</f>
        <v>0</v>
      </c>
      <c r="M22" s="20">
        <f t="shared" si="0"/>
        <v>8181.818181818182</v>
      </c>
    </row>
    <row r="24" spans="1:13" x14ac:dyDescent="0.35">
      <c r="B24" s="14" t="s">
        <v>135</v>
      </c>
      <c r="C24" s="20">
        <f t="shared" ref="C24:M24" si="1">C6+C7</f>
        <v>28450</v>
      </c>
      <c r="D24" s="20">
        <f t="shared" si="1"/>
        <v>0</v>
      </c>
      <c r="E24" s="20">
        <f t="shared" si="1"/>
        <v>0</v>
      </c>
      <c r="F24" s="20">
        <f t="shared" si="1"/>
        <v>0</v>
      </c>
      <c r="G24" s="20">
        <f t="shared" si="1"/>
        <v>0</v>
      </c>
      <c r="H24" s="20">
        <f t="shared" si="1"/>
        <v>0</v>
      </c>
      <c r="I24" s="20">
        <f t="shared" si="1"/>
        <v>0</v>
      </c>
      <c r="J24" s="20">
        <f t="shared" si="1"/>
        <v>0</v>
      </c>
      <c r="K24" s="20">
        <f t="shared" si="1"/>
        <v>0</v>
      </c>
      <c r="L24" s="20">
        <f t="shared" si="1"/>
        <v>0</v>
      </c>
      <c r="M24" s="20">
        <f t="shared" si="1"/>
        <v>28450</v>
      </c>
    </row>
    <row r="25" spans="1:13" x14ac:dyDescent="0.35">
      <c r="B25" s="14" t="s">
        <v>136</v>
      </c>
      <c r="C25" s="20">
        <f t="shared" ref="C25:M25" si="2">C8+C9+C10+C11+C12+C13+C14+C15+C16+C17+C18+C19+C20+C21+C22</f>
        <v>18420.818181818184</v>
      </c>
      <c r="D25" s="20">
        <f t="shared" si="2"/>
        <v>0</v>
      </c>
      <c r="E25" s="20">
        <f t="shared" si="2"/>
        <v>0</v>
      </c>
      <c r="F25" s="20">
        <f t="shared" si="2"/>
        <v>0</v>
      </c>
      <c r="G25" s="20">
        <f t="shared" si="2"/>
        <v>0</v>
      </c>
      <c r="H25" s="20">
        <f t="shared" si="2"/>
        <v>0</v>
      </c>
      <c r="I25" s="20">
        <f t="shared" si="2"/>
        <v>0</v>
      </c>
      <c r="J25" s="20">
        <f t="shared" si="2"/>
        <v>0</v>
      </c>
      <c r="K25" s="20">
        <f t="shared" si="2"/>
        <v>0</v>
      </c>
      <c r="L25" s="20">
        <f t="shared" si="2"/>
        <v>0</v>
      </c>
      <c r="M25" s="20">
        <f t="shared" si="2"/>
        <v>18420.818181818184</v>
      </c>
    </row>
    <row r="26" spans="1:13" x14ac:dyDescent="0.35">
      <c r="B26" s="22" t="s">
        <v>137</v>
      </c>
      <c r="C26" s="23">
        <f t="shared" ref="C26:M26" si="3">C24-C25</f>
        <v>10029.181818181816</v>
      </c>
      <c r="D26" s="23">
        <f t="shared" si="3"/>
        <v>0</v>
      </c>
      <c r="E26" s="23">
        <f t="shared" si="3"/>
        <v>0</v>
      </c>
      <c r="F26" s="23">
        <f t="shared" si="3"/>
        <v>0</v>
      </c>
      <c r="G26" s="23">
        <f t="shared" si="3"/>
        <v>0</v>
      </c>
      <c r="H26" s="23">
        <f t="shared" si="3"/>
        <v>0</v>
      </c>
      <c r="I26" s="23">
        <f t="shared" si="3"/>
        <v>0</v>
      </c>
      <c r="J26" s="23">
        <f t="shared" si="3"/>
        <v>0</v>
      </c>
      <c r="K26" s="23">
        <f t="shared" si="3"/>
        <v>0</v>
      </c>
      <c r="L26" s="23">
        <f t="shared" si="3"/>
        <v>0</v>
      </c>
      <c r="M26" s="23">
        <f t="shared" si="3"/>
        <v>10029.181818181816</v>
      </c>
    </row>
    <row r="28" spans="1:13" x14ac:dyDescent="0.35">
      <c r="B28" s="5" t="s">
        <v>138</v>
      </c>
      <c r="C28" s="24">
        <f>SUMIFS(Transactions!$E$5:$E$1004,Transactions!$A$5:$A$1004,"&gt;="&amp;DATE($C$3,1,1),Transactions!$A$5:$A$1004,"&lt;"&amp;DATE($C$3+1,1,1))-SUM(M6:M21)</f>
        <v>0</v>
      </c>
    </row>
    <row r="29" spans="1:13" x14ac:dyDescent="0.35">
      <c r="B29" s="5" t="s">
        <v>139</v>
      </c>
    </row>
    <row r="30" spans="1:13" x14ac:dyDescent="0.35">
      <c r="B30" s="13" t="s">
        <v>140</v>
      </c>
      <c r="C30" s="13">
        <f>Transactions!I2</f>
        <v>0</v>
      </c>
    </row>
  </sheetData>
  <dataValidations count="1">
    <dataValidation type="whole" showErrorMessage="1" errorTitle="Tax year" error="Enter a 4-digit year, e.g. 2026." sqref="C3" xr:uid="{00000000-0002-0000-0400-000000000000}">
      <formula1>1990</formula1>
      <formula2>2100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B3A86"/>
  </sheetPr>
  <dimension ref="A1:F21"/>
  <sheetViews>
    <sheetView showGridLines="0" workbookViewId="0"/>
  </sheetViews>
  <sheetFormatPr defaultRowHeight="14.5" x14ac:dyDescent="0.35"/>
  <cols>
    <col min="1" max="1" width="3" customWidth="1"/>
    <col min="2" max="2" width="14" customWidth="1"/>
    <col min="3" max="3" width="30" customWidth="1"/>
    <col min="4" max="6" width="16" customWidth="1"/>
  </cols>
  <sheetData>
    <row r="1" spans="1:6" ht="23" x14ac:dyDescent="0.5">
      <c r="A1" s="1" t="s">
        <v>141</v>
      </c>
    </row>
    <row r="3" spans="1:6" x14ac:dyDescent="0.35">
      <c r="B3" s="14" t="s">
        <v>142</v>
      </c>
      <c r="C3" s="25" t="s">
        <v>143</v>
      </c>
    </row>
    <row r="4" spans="1:6" x14ac:dyDescent="0.35">
      <c r="B4" s="14" t="s">
        <v>103</v>
      </c>
      <c r="C4" s="26">
        <f>'Schedule E Summary'!C3</f>
        <v>2026</v>
      </c>
    </row>
    <row r="6" spans="1:6" x14ac:dyDescent="0.35">
      <c r="B6" s="7" t="s">
        <v>32</v>
      </c>
      <c r="C6" s="7" t="s">
        <v>33</v>
      </c>
      <c r="D6" s="7" t="s">
        <v>34</v>
      </c>
      <c r="E6" s="7" t="s">
        <v>35</v>
      </c>
      <c r="F6" s="7" t="s">
        <v>144</v>
      </c>
    </row>
    <row r="7" spans="1:6" x14ac:dyDescent="0.35">
      <c r="B7" s="27" t="s">
        <v>36</v>
      </c>
      <c r="C7" s="12">
        <f>IF($C$3="All properties",SUMPRODUCT(ISNUMBER(MATCH(Transactions!$B$5:$B$1004,Lists!$F$3:$F$12,0))*ISNUMBER(MATCH(Transactions!$C$5:$C$1004,Lists!$A$2:$A$3,0))*ISNUMBER(Transactions!$A$5:$A$1004)*(Transactions!$A$5:$A$1004&gt;=DATE($C$4,1,1))*(Transactions!$A$5:$A$1004&lt;DATE($C$4,2,1)),Transactions!$E$5:$E$1004),SUMPRODUCT((Transactions!$B$5:$B$1004=$C$3)*ISNUMBER(MATCH(Transactions!$C$5:$C$1004,Lists!$A$2:$A$3,0))*ISNUMBER(Transactions!$A$5:$A$1004)*(Transactions!$A$5:$A$1004&gt;=DATE($C$4,1,1))*(Transactions!$A$5:$A$1004&lt;DATE($C$4,2,1)),Transactions!$E$5:$E$1004))</f>
        <v>2845</v>
      </c>
      <c r="D7" s="12">
        <f>IF($C$3="All properties",SUMPRODUCT(ISNUMBER(MATCH(Transactions!$B$5:$B$1004,Lists!$F$3:$F$12,0))*ISNUMBER(MATCH(Transactions!$C$5:$C$1004,Lists!$A$4:$A$17,0))*ISNUMBER(Transactions!$A$5:$A$1004)*(Transactions!$A$5:$A$1004&gt;=DATE($C$4,1,1))*(Transactions!$A$5:$A$1004&lt;DATE($C$4,2,1)),Transactions!$E$5:$E$1004),SUMPRODUCT((Transactions!$B$5:$B$1004=$C$3)*ISNUMBER(MATCH(Transactions!$C$5:$C$1004,Lists!$A$4:$A$17,0))*ISNUMBER(Transactions!$A$5:$A$1004)*(Transactions!$A$5:$A$1004&gt;=DATE($C$4,1,1))*(Transactions!$A$5:$A$1004&lt;DATE($C$4,2,1)),Transactions!$E$5:$E$1004))</f>
        <v>827.4</v>
      </c>
      <c r="E7" s="12">
        <f t="shared" ref="E7:E18" si="0">C7-D7</f>
        <v>2017.6</v>
      </c>
      <c r="F7" s="12">
        <f>SUM($E$7:E7)</f>
        <v>2017.6</v>
      </c>
    </row>
    <row r="8" spans="1:6" x14ac:dyDescent="0.35">
      <c r="B8" s="28" t="s">
        <v>37</v>
      </c>
      <c r="C8" s="29">
        <f>IF($C$3="All properties",SUMPRODUCT(ISNUMBER(MATCH(Transactions!$B$5:$B$1004,Lists!$F$3:$F$12,0))*ISNUMBER(MATCH(Transactions!$C$5:$C$1004,Lists!$A$2:$A$3,0))*ISNUMBER(Transactions!$A$5:$A$1004)*(Transactions!$A$5:$A$1004&gt;=DATE($C$4,2,1))*(Transactions!$A$5:$A$1004&lt;DATE($C$4,3,1)),Transactions!$E$5:$E$1004),SUMPRODUCT((Transactions!$B$5:$B$1004=$C$3)*ISNUMBER(MATCH(Transactions!$C$5:$C$1004,Lists!$A$2:$A$3,0))*ISNUMBER(Transactions!$A$5:$A$1004)*(Transactions!$A$5:$A$1004&gt;=DATE($C$4,2,1))*(Transactions!$A$5:$A$1004&lt;DATE($C$4,3,1)),Transactions!$E$5:$E$1004))</f>
        <v>2845</v>
      </c>
      <c r="D8" s="29">
        <f>IF($C$3="All properties",SUMPRODUCT(ISNUMBER(MATCH(Transactions!$B$5:$B$1004,Lists!$F$3:$F$12,0))*ISNUMBER(MATCH(Transactions!$C$5:$C$1004,Lists!$A$4:$A$17,0))*ISNUMBER(Transactions!$A$5:$A$1004)*(Transactions!$A$5:$A$1004&gt;=DATE($C$4,2,1))*(Transactions!$A$5:$A$1004&lt;DATE($C$4,3,1)),Transactions!$E$5:$E$1004),SUMPRODUCT((Transactions!$B$5:$B$1004=$C$3)*ISNUMBER(MATCH(Transactions!$C$5:$C$1004,Lists!$A$4:$A$17,0))*ISNUMBER(Transactions!$A$5:$A$1004)*(Transactions!$A$5:$A$1004&gt;=DATE($C$4,2,1))*(Transactions!$A$5:$A$1004&lt;DATE($C$4,3,1)),Transactions!$E$5:$E$1004))</f>
        <v>1662.4</v>
      </c>
      <c r="E8" s="29">
        <f t="shared" si="0"/>
        <v>1182.5999999999999</v>
      </c>
      <c r="F8" s="29">
        <f>SUM($E$7:E8)</f>
        <v>3200.2</v>
      </c>
    </row>
    <row r="9" spans="1:6" x14ac:dyDescent="0.35">
      <c r="B9" s="27" t="s">
        <v>38</v>
      </c>
      <c r="C9" s="12">
        <f>IF($C$3="All properties",SUMPRODUCT(ISNUMBER(MATCH(Transactions!$B$5:$B$1004,Lists!$F$3:$F$12,0))*ISNUMBER(MATCH(Transactions!$C$5:$C$1004,Lists!$A$2:$A$3,0))*ISNUMBER(Transactions!$A$5:$A$1004)*(Transactions!$A$5:$A$1004&gt;=DATE($C$4,3,1))*(Transactions!$A$5:$A$1004&lt;DATE($C$4,4,1)),Transactions!$E$5:$E$1004),SUMPRODUCT((Transactions!$B$5:$B$1004=$C$3)*ISNUMBER(MATCH(Transactions!$C$5:$C$1004,Lists!$A$2:$A$3,0))*ISNUMBER(Transactions!$A$5:$A$1004)*(Transactions!$A$5:$A$1004&gt;=DATE($C$4,3,1))*(Transactions!$A$5:$A$1004&lt;DATE($C$4,4,1)),Transactions!$E$5:$E$1004))</f>
        <v>2845</v>
      </c>
      <c r="D9" s="12">
        <f>IF($C$3="All properties",SUMPRODUCT(ISNUMBER(MATCH(Transactions!$B$5:$B$1004,Lists!$F$3:$F$12,0))*ISNUMBER(MATCH(Transactions!$C$5:$C$1004,Lists!$A$4:$A$17,0))*ISNUMBER(Transactions!$A$5:$A$1004)*(Transactions!$A$5:$A$1004&gt;=DATE($C$4,3,1))*(Transactions!$A$5:$A$1004&lt;DATE($C$4,4,1)),Transactions!$E$5:$E$1004),SUMPRODUCT((Transactions!$B$5:$B$1004=$C$3)*ISNUMBER(MATCH(Transactions!$C$5:$C$1004,Lists!$A$4:$A$17,0))*ISNUMBER(Transactions!$A$5:$A$1004)*(Transactions!$A$5:$A$1004&gt;=DATE($C$4,3,1))*(Transactions!$A$5:$A$1004&lt;DATE($C$4,4,1)),Transactions!$E$5:$E$1004))</f>
        <v>612.4</v>
      </c>
      <c r="E9" s="12">
        <f t="shared" si="0"/>
        <v>2232.6</v>
      </c>
      <c r="F9" s="12">
        <f>SUM($E$7:E9)</f>
        <v>5432.7999999999993</v>
      </c>
    </row>
    <row r="10" spans="1:6" x14ac:dyDescent="0.35">
      <c r="B10" s="28" t="s">
        <v>39</v>
      </c>
      <c r="C10" s="29">
        <f>IF($C$3="All properties",SUMPRODUCT(ISNUMBER(MATCH(Transactions!$B$5:$B$1004,Lists!$F$3:$F$12,0))*ISNUMBER(MATCH(Transactions!$C$5:$C$1004,Lists!$A$2:$A$3,0))*ISNUMBER(Transactions!$A$5:$A$1004)*(Transactions!$A$5:$A$1004&gt;=DATE($C$4,4,1))*(Transactions!$A$5:$A$1004&lt;DATE($C$4,5,1)),Transactions!$E$5:$E$1004),SUMPRODUCT((Transactions!$B$5:$B$1004=$C$3)*ISNUMBER(MATCH(Transactions!$C$5:$C$1004,Lists!$A$2:$A$3,0))*ISNUMBER(Transactions!$A$5:$A$1004)*(Transactions!$A$5:$A$1004&gt;=DATE($C$4,4,1))*(Transactions!$A$5:$A$1004&lt;DATE($C$4,5,1)),Transactions!$E$5:$E$1004))</f>
        <v>2845</v>
      </c>
      <c r="D10" s="29">
        <f>IF($C$3="All properties",SUMPRODUCT(ISNUMBER(MATCH(Transactions!$B$5:$B$1004,Lists!$F$3:$F$12,0))*ISNUMBER(MATCH(Transactions!$C$5:$C$1004,Lists!$A$4:$A$17,0))*ISNUMBER(Transactions!$A$5:$A$1004)*(Transactions!$A$5:$A$1004&gt;=DATE($C$4,4,1))*(Transactions!$A$5:$A$1004&lt;DATE($C$4,5,1)),Transactions!$E$5:$E$1004),SUMPRODUCT((Transactions!$B$5:$B$1004=$C$3)*ISNUMBER(MATCH(Transactions!$C$5:$C$1004,Lists!$A$4:$A$17,0))*ISNUMBER(Transactions!$A$5:$A$1004)*(Transactions!$A$5:$A$1004&gt;=DATE($C$4,4,1))*(Transactions!$A$5:$A$1004&lt;DATE($C$4,5,1)),Transactions!$E$5:$E$1004))</f>
        <v>2037.4</v>
      </c>
      <c r="E10" s="29">
        <f t="shared" si="0"/>
        <v>807.59999999999991</v>
      </c>
      <c r="F10" s="29">
        <f>SUM($E$7:E10)</f>
        <v>6240.4</v>
      </c>
    </row>
    <row r="11" spans="1:6" x14ac:dyDescent="0.35">
      <c r="B11" s="27" t="s">
        <v>40</v>
      </c>
      <c r="C11" s="12">
        <f>IF($C$3="All properties",SUMPRODUCT(ISNUMBER(MATCH(Transactions!$B$5:$B$1004,Lists!$F$3:$F$12,0))*ISNUMBER(MATCH(Transactions!$C$5:$C$1004,Lists!$A$2:$A$3,0))*ISNUMBER(Transactions!$A$5:$A$1004)*(Transactions!$A$5:$A$1004&gt;=DATE($C$4,5,1))*(Transactions!$A$5:$A$1004&lt;DATE($C$4,6,1)),Transactions!$E$5:$E$1004),SUMPRODUCT((Transactions!$B$5:$B$1004=$C$3)*ISNUMBER(MATCH(Transactions!$C$5:$C$1004,Lists!$A$2:$A$3,0))*ISNUMBER(Transactions!$A$5:$A$1004)*(Transactions!$A$5:$A$1004&gt;=DATE($C$4,5,1))*(Transactions!$A$5:$A$1004&lt;DATE($C$4,6,1)),Transactions!$E$5:$E$1004))</f>
        <v>2845</v>
      </c>
      <c r="D11" s="12">
        <f>IF($C$3="All properties",SUMPRODUCT(ISNUMBER(MATCH(Transactions!$B$5:$B$1004,Lists!$F$3:$F$12,0))*ISNUMBER(MATCH(Transactions!$C$5:$C$1004,Lists!$A$4:$A$17,0))*ISNUMBER(Transactions!$A$5:$A$1004)*(Transactions!$A$5:$A$1004&gt;=DATE($C$4,5,1))*(Transactions!$A$5:$A$1004&lt;DATE($C$4,6,1)),Transactions!$E$5:$E$1004),SUMPRODUCT((Transactions!$B$5:$B$1004=$C$3)*ISNUMBER(MATCH(Transactions!$C$5:$C$1004,Lists!$A$4:$A$17,0))*ISNUMBER(Transactions!$A$5:$A$1004)*(Transactions!$A$5:$A$1004&gt;=DATE($C$4,5,1))*(Transactions!$A$5:$A$1004&lt;DATE($C$4,6,1)),Transactions!$E$5:$E$1004))</f>
        <v>612.4</v>
      </c>
      <c r="E11" s="12">
        <f t="shared" si="0"/>
        <v>2232.6</v>
      </c>
      <c r="F11" s="12">
        <f>SUM($E$7:E11)</f>
        <v>8473</v>
      </c>
    </row>
    <row r="12" spans="1:6" x14ac:dyDescent="0.35">
      <c r="B12" s="28" t="s">
        <v>41</v>
      </c>
      <c r="C12" s="29">
        <f>IF($C$3="All properties",SUMPRODUCT(ISNUMBER(MATCH(Transactions!$B$5:$B$1004,Lists!$F$3:$F$12,0))*ISNUMBER(MATCH(Transactions!$C$5:$C$1004,Lists!$A$2:$A$3,0))*ISNUMBER(Transactions!$A$5:$A$1004)*(Transactions!$A$5:$A$1004&gt;=DATE($C$4,6,1))*(Transactions!$A$5:$A$1004&lt;DATE($C$4,7,1)),Transactions!$E$5:$E$1004),SUMPRODUCT((Transactions!$B$5:$B$1004=$C$3)*ISNUMBER(MATCH(Transactions!$C$5:$C$1004,Lists!$A$2:$A$3,0))*ISNUMBER(Transactions!$A$5:$A$1004)*(Transactions!$A$5:$A$1004&gt;=DATE($C$4,6,1))*(Transactions!$A$5:$A$1004&lt;DATE($C$4,7,1)),Transactions!$E$5:$E$1004))</f>
        <v>2845</v>
      </c>
      <c r="D12" s="29">
        <f>IF($C$3="All properties",SUMPRODUCT(ISNUMBER(MATCH(Transactions!$B$5:$B$1004,Lists!$F$3:$F$12,0))*ISNUMBER(MATCH(Transactions!$C$5:$C$1004,Lists!$A$4:$A$17,0))*ISNUMBER(Transactions!$A$5:$A$1004)*(Transactions!$A$5:$A$1004&gt;=DATE($C$4,6,1))*(Transactions!$A$5:$A$1004&lt;DATE($C$4,7,1)),Transactions!$E$5:$E$1004),SUMPRODUCT((Transactions!$B$5:$B$1004=$C$3)*ISNUMBER(MATCH(Transactions!$C$5:$C$1004,Lists!$A$4:$A$17,0))*ISNUMBER(Transactions!$A$5:$A$1004)*(Transactions!$A$5:$A$1004&gt;=DATE($C$4,6,1))*(Transactions!$A$5:$A$1004&lt;DATE($C$4,7,1)),Transactions!$E$5:$E$1004))</f>
        <v>612.4</v>
      </c>
      <c r="E12" s="29">
        <f t="shared" si="0"/>
        <v>2232.6</v>
      </c>
      <c r="F12" s="29">
        <f>SUM($E$7:E12)</f>
        <v>10705.6</v>
      </c>
    </row>
    <row r="13" spans="1:6" x14ac:dyDescent="0.35">
      <c r="B13" s="27" t="s">
        <v>42</v>
      </c>
      <c r="C13" s="12">
        <f>IF($C$3="All properties",SUMPRODUCT(ISNUMBER(MATCH(Transactions!$B$5:$B$1004,Lists!$F$3:$F$12,0))*ISNUMBER(MATCH(Transactions!$C$5:$C$1004,Lists!$A$2:$A$3,0))*ISNUMBER(Transactions!$A$5:$A$1004)*(Transactions!$A$5:$A$1004&gt;=DATE($C$4,7,1))*(Transactions!$A$5:$A$1004&lt;DATE($C$4,8,1)),Transactions!$E$5:$E$1004),SUMPRODUCT((Transactions!$B$5:$B$1004=$C$3)*ISNUMBER(MATCH(Transactions!$C$5:$C$1004,Lists!$A$2:$A$3,0))*ISNUMBER(Transactions!$A$5:$A$1004)*(Transactions!$A$5:$A$1004&gt;=DATE($C$4,7,1))*(Transactions!$A$5:$A$1004&lt;DATE($C$4,8,1)),Transactions!$E$5:$E$1004))</f>
        <v>2845</v>
      </c>
      <c r="D13" s="12">
        <f>IF($C$3="All properties",SUMPRODUCT(ISNUMBER(MATCH(Transactions!$B$5:$B$1004,Lists!$F$3:$F$12,0))*ISNUMBER(MATCH(Transactions!$C$5:$C$1004,Lists!$A$4:$A$17,0))*ISNUMBER(Transactions!$A$5:$A$1004)*(Transactions!$A$5:$A$1004&gt;=DATE($C$4,7,1))*(Transactions!$A$5:$A$1004&lt;DATE($C$4,8,1)),Transactions!$E$5:$E$1004),SUMPRODUCT((Transactions!$B$5:$B$1004=$C$3)*ISNUMBER(MATCH(Transactions!$C$5:$C$1004,Lists!$A$4:$A$17,0))*ISNUMBER(Transactions!$A$5:$A$1004)*(Transactions!$A$5:$A$1004&gt;=DATE($C$4,7,1))*(Transactions!$A$5:$A$1004&lt;DATE($C$4,8,1)),Transactions!$E$5:$E$1004))</f>
        <v>612.4</v>
      </c>
      <c r="E13" s="12">
        <f t="shared" si="0"/>
        <v>2232.6</v>
      </c>
      <c r="F13" s="12">
        <f>SUM($E$7:E13)</f>
        <v>12938.2</v>
      </c>
    </row>
    <row r="14" spans="1:6" x14ac:dyDescent="0.35">
      <c r="B14" s="28" t="s">
        <v>43</v>
      </c>
      <c r="C14" s="29">
        <f>IF($C$3="All properties",SUMPRODUCT(ISNUMBER(MATCH(Transactions!$B$5:$B$1004,Lists!$F$3:$F$12,0))*ISNUMBER(MATCH(Transactions!$C$5:$C$1004,Lists!$A$2:$A$3,0))*ISNUMBER(Transactions!$A$5:$A$1004)*(Transactions!$A$5:$A$1004&gt;=DATE($C$4,8,1))*(Transactions!$A$5:$A$1004&lt;DATE($C$4,9,1)),Transactions!$E$5:$E$1004),SUMPRODUCT((Transactions!$B$5:$B$1004=$C$3)*ISNUMBER(MATCH(Transactions!$C$5:$C$1004,Lists!$A$2:$A$3,0))*ISNUMBER(Transactions!$A$5:$A$1004)*(Transactions!$A$5:$A$1004&gt;=DATE($C$4,8,1))*(Transactions!$A$5:$A$1004&lt;DATE($C$4,9,1)),Transactions!$E$5:$E$1004))</f>
        <v>2845</v>
      </c>
      <c r="D14" s="29">
        <f>IF($C$3="All properties",SUMPRODUCT(ISNUMBER(MATCH(Transactions!$B$5:$B$1004,Lists!$F$3:$F$12,0))*ISNUMBER(MATCH(Transactions!$C$5:$C$1004,Lists!$A$4:$A$17,0))*ISNUMBER(Transactions!$A$5:$A$1004)*(Transactions!$A$5:$A$1004&gt;=DATE($C$4,8,1))*(Transactions!$A$5:$A$1004&lt;DATE($C$4,9,1)),Transactions!$E$5:$E$1004),SUMPRODUCT((Transactions!$B$5:$B$1004=$C$3)*ISNUMBER(MATCH(Transactions!$C$5:$C$1004,Lists!$A$4:$A$17,0))*ISNUMBER(Transactions!$A$5:$A$1004)*(Transactions!$A$5:$A$1004&gt;=DATE($C$4,8,1))*(Transactions!$A$5:$A$1004&lt;DATE($C$4,9,1)),Transactions!$E$5:$E$1004))</f>
        <v>612.4</v>
      </c>
      <c r="E14" s="29">
        <f t="shared" si="0"/>
        <v>2232.6</v>
      </c>
      <c r="F14" s="29">
        <f>SUM($E$7:E14)</f>
        <v>15170.800000000001</v>
      </c>
    </row>
    <row r="15" spans="1:6" x14ac:dyDescent="0.35">
      <c r="B15" s="27" t="s">
        <v>44</v>
      </c>
      <c r="C15" s="12">
        <f>IF($C$3="All properties",SUMPRODUCT(ISNUMBER(MATCH(Transactions!$B$5:$B$1004,Lists!$F$3:$F$12,0))*ISNUMBER(MATCH(Transactions!$C$5:$C$1004,Lists!$A$2:$A$3,0))*ISNUMBER(Transactions!$A$5:$A$1004)*(Transactions!$A$5:$A$1004&gt;=DATE($C$4,9,1))*(Transactions!$A$5:$A$1004&lt;DATE($C$4,10,1)),Transactions!$E$5:$E$1004),SUMPRODUCT((Transactions!$B$5:$B$1004=$C$3)*ISNUMBER(MATCH(Transactions!$C$5:$C$1004,Lists!$A$2:$A$3,0))*ISNUMBER(Transactions!$A$5:$A$1004)*(Transactions!$A$5:$A$1004&gt;=DATE($C$4,9,1))*(Transactions!$A$5:$A$1004&lt;DATE($C$4,10,1)),Transactions!$E$5:$E$1004))</f>
        <v>2845</v>
      </c>
      <c r="D15" s="12">
        <f>IF($C$3="All properties",SUMPRODUCT(ISNUMBER(MATCH(Transactions!$B$5:$B$1004,Lists!$F$3:$F$12,0))*ISNUMBER(MATCH(Transactions!$C$5:$C$1004,Lists!$A$4:$A$17,0))*ISNUMBER(Transactions!$A$5:$A$1004)*(Transactions!$A$5:$A$1004&gt;=DATE($C$4,9,1))*(Transactions!$A$5:$A$1004&lt;DATE($C$4,10,1)),Transactions!$E$5:$E$1004),SUMPRODUCT((Transactions!$B$5:$B$1004=$C$3)*ISNUMBER(MATCH(Transactions!$C$5:$C$1004,Lists!$A$4:$A$17,0))*ISNUMBER(Transactions!$A$5:$A$1004)*(Transactions!$A$5:$A$1004&gt;=DATE($C$4,9,1))*(Transactions!$A$5:$A$1004&lt;DATE($C$4,10,1)),Transactions!$E$5:$E$1004))</f>
        <v>612.4</v>
      </c>
      <c r="E15" s="12">
        <f t="shared" si="0"/>
        <v>2232.6</v>
      </c>
      <c r="F15" s="12">
        <f>SUM($E$7:E15)</f>
        <v>17403.400000000001</v>
      </c>
    </row>
    <row r="16" spans="1:6" x14ac:dyDescent="0.35">
      <c r="B16" s="28" t="s">
        <v>45</v>
      </c>
      <c r="C16" s="29">
        <f>IF($C$3="All properties",SUMPRODUCT(ISNUMBER(MATCH(Transactions!$B$5:$B$1004,Lists!$F$3:$F$12,0))*ISNUMBER(MATCH(Transactions!$C$5:$C$1004,Lists!$A$2:$A$3,0))*ISNUMBER(Transactions!$A$5:$A$1004)*(Transactions!$A$5:$A$1004&gt;=DATE($C$4,10,1))*(Transactions!$A$5:$A$1004&lt;DATE($C$4,11,1)),Transactions!$E$5:$E$1004),SUMPRODUCT((Transactions!$B$5:$B$1004=$C$3)*ISNUMBER(MATCH(Transactions!$C$5:$C$1004,Lists!$A$2:$A$3,0))*ISNUMBER(Transactions!$A$5:$A$1004)*(Transactions!$A$5:$A$1004&gt;=DATE($C$4,10,1))*(Transactions!$A$5:$A$1004&lt;DATE($C$4,11,1)),Transactions!$E$5:$E$1004))</f>
        <v>2845</v>
      </c>
      <c r="D16" s="29">
        <f>IF($C$3="All properties",SUMPRODUCT(ISNUMBER(MATCH(Transactions!$B$5:$B$1004,Lists!$F$3:$F$12,0))*ISNUMBER(MATCH(Transactions!$C$5:$C$1004,Lists!$A$4:$A$17,0))*ISNUMBER(Transactions!$A$5:$A$1004)*(Transactions!$A$5:$A$1004&gt;=DATE($C$4,10,1))*(Transactions!$A$5:$A$1004&lt;DATE($C$4,11,1)),Transactions!$E$5:$E$1004),SUMPRODUCT((Transactions!$B$5:$B$1004=$C$3)*ISNUMBER(MATCH(Transactions!$C$5:$C$1004,Lists!$A$4:$A$17,0))*ISNUMBER(Transactions!$A$5:$A$1004)*(Transactions!$A$5:$A$1004&gt;=DATE($C$4,10,1))*(Transactions!$A$5:$A$1004&lt;DATE($C$4,11,1)),Transactions!$E$5:$E$1004))</f>
        <v>2037.4</v>
      </c>
      <c r="E16" s="29">
        <f t="shared" si="0"/>
        <v>807.59999999999991</v>
      </c>
      <c r="F16" s="29">
        <f>SUM($E$7:E16)</f>
        <v>18211</v>
      </c>
    </row>
    <row r="17" spans="2:6" x14ac:dyDescent="0.35">
      <c r="B17" s="27" t="s">
        <v>46</v>
      </c>
      <c r="C17" s="12">
        <f>IF($C$3="All properties",SUMPRODUCT(ISNUMBER(MATCH(Transactions!$B$5:$B$1004,Lists!$F$3:$F$12,0))*ISNUMBER(MATCH(Transactions!$C$5:$C$1004,Lists!$A$2:$A$3,0))*ISNUMBER(Transactions!$A$5:$A$1004)*(Transactions!$A$5:$A$1004&gt;=DATE($C$4,11,1))*(Transactions!$A$5:$A$1004&lt;DATE($C$4,12,1)),Transactions!$E$5:$E$1004),SUMPRODUCT((Transactions!$B$5:$B$1004=$C$3)*ISNUMBER(MATCH(Transactions!$C$5:$C$1004,Lists!$A$2:$A$3,0))*ISNUMBER(Transactions!$A$5:$A$1004)*(Transactions!$A$5:$A$1004&gt;=DATE($C$4,11,1))*(Transactions!$A$5:$A$1004&lt;DATE($C$4,12,1)),Transactions!$E$5:$E$1004))</f>
        <v>0</v>
      </c>
      <c r="D17" s="12">
        <f>IF($C$3="All properties",SUMPRODUCT(ISNUMBER(MATCH(Transactions!$B$5:$B$1004,Lists!$F$3:$F$12,0))*ISNUMBER(MATCH(Transactions!$C$5:$C$1004,Lists!$A$4:$A$17,0))*ISNUMBER(Transactions!$A$5:$A$1004)*(Transactions!$A$5:$A$1004&gt;=DATE($C$4,11,1))*(Transactions!$A$5:$A$1004&lt;DATE($C$4,12,1)),Transactions!$E$5:$E$1004),SUMPRODUCT((Transactions!$B$5:$B$1004=$C$3)*ISNUMBER(MATCH(Transactions!$C$5:$C$1004,Lists!$A$4:$A$17,0))*ISNUMBER(Transactions!$A$5:$A$1004)*(Transactions!$A$5:$A$1004&gt;=DATE($C$4,11,1))*(Transactions!$A$5:$A$1004&lt;DATE($C$4,12,1)),Transactions!$E$5:$E$1004))</f>
        <v>0</v>
      </c>
      <c r="E17" s="12">
        <f t="shared" si="0"/>
        <v>0</v>
      </c>
      <c r="F17" s="12">
        <f>SUM($E$7:E17)</f>
        <v>18211</v>
      </c>
    </row>
    <row r="18" spans="2:6" x14ac:dyDescent="0.35">
      <c r="B18" s="28" t="s">
        <v>47</v>
      </c>
      <c r="C18" s="29">
        <f>IF($C$3="All properties",SUMPRODUCT(ISNUMBER(MATCH(Transactions!$B$5:$B$1004,Lists!$F$3:$F$12,0))*ISNUMBER(MATCH(Transactions!$C$5:$C$1004,Lists!$A$2:$A$3,0))*ISNUMBER(Transactions!$A$5:$A$1004)*(Transactions!$A$5:$A$1004&gt;=DATE($C$4,12,1))*(Transactions!$A$5:$A$1004&lt;DATE($C$4,13,1)),Transactions!$E$5:$E$1004),SUMPRODUCT((Transactions!$B$5:$B$1004=$C$3)*ISNUMBER(MATCH(Transactions!$C$5:$C$1004,Lists!$A$2:$A$3,0))*ISNUMBER(Transactions!$A$5:$A$1004)*(Transactions!$A$5:$A$1004&gt;=DATE($C$4,12,1))*(Transactions!$A$5:$A$1004&lt;DATE($C$4,13,1)),Transactions!$E$5:$E$1004))</f>
        <v>0</v>
      </c>
      <c r="D18" s="29">
        <f>IF($C$3="All properties",SUMPRODUCT(ISNUMBER(MATCH(Transactions!$B$5:$B$1004,Lists!$F$3:$F$12,0))*ISNUMBER(MATCH(Transactions!$C$5:$C$1004,Lists!$A$4:$A$17,0))*ISNUMBER(Transactions!$A$5:$A$1004)*(Transactions!$A$5:$A$1004&gt;=DATE($C$4,12,1))*(Transactions!$A$5:$A$1004&lt;DATE($C$4,13,1)),Transactions!$E$5:$E$1004),SUMPRODUCT((Transactions!$B$5:$B$1004=$C$3)*ISNUMBER(MATCH(Transactions!$C$5:$C$1004,Lists!$A$4:$A$17,0))*ISNUMBER(Transactions!$A$5:$A$1004)*(Transactions!$A$5:$A$1004&gt;=DATE($C$4,12,1))*(Transactions!$A$5:$A$1004&lt;DATE($C$4,13,1)),Transactions!$E$5:$E$1004))</f>
        <v>0</v>
      </c>
      <c r="E18" s="29">
        <f t="shared" si="0"/>
        <v>0</v>
      </c>
      <c r="F18" s="29">
        <f>SUM($E$7:E18)</f>
        <v>18211</v>
      </c>
    </row>
    <row r="19" spans="2:6" x14ac:dyDescent="0.35">
      <c r="B19" s="14" t="s">
        <v>145</v>
      </c>
      <c r="C19" s="20">
        <f>SUM(C7:C18)</f>
        <v>28450</v>
      </c>
      <c r="D19" s="20">
        <f>SUM(D7:D18)</f>
        <v>10238.999999999998</v>
      </c>
      <c r="E19" s="20">
        <f>SUM(E7:E18)</f>
        <v>18211</v>
      </c>
    </row>
    <row r="21" spans="2:6" x14ac:dyDescent="0.35">
      <c r="B21" s="5" t="s">
        <v>146</v>
      </c>
    </row>
  </sheetData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Lists!$E$2:$E$12</xm:f>
          </x14:formula1>
          <xm:sqref>C3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B3A86"/>
  </sheetPr>
  <dimension ref="A1:I66"/>
  <sheetViews>
    <sheetView showGridLines="0" workbookViewId="0"/>
  </sheetViews>
  <sheetFormatPr defaultRowHeight="14.5" x14ac:dyDescent="0.35"/>
  <cols>
    <col min="1" max="1" width="32" customWidth="1"/>
    <col min="2" max="2" width="8" customWidth="1"/>
    <col min="3" max="3" width="22" customWidth="1"/>
    <col min="4" max="4" width="26" customWidth="1"/>
    <col min="5" max="6" width="14" customWidth="1"/>
    <col min="7" max="8" width="13" customWidth="1"/>
    <col min="9" max="9" width="10" customWidth="1"/>
  </cols>
  <sheetData>
    <row r="1" spans="1:9" ht="23" x14ac:dyDescent="0.5">
      <c r="A1" s="1" t="s">
        <v>147</v>
      </c>
    </row>
    <row r="2" spans="1:9" x14ac:dyDescent="0.35">
      <c r="A2" s="2" t="s">
        <v>148</v>
      </c>
    </row>
    <row r="4" spans="1:9" x14ac:dyDescent="0.35">
      <c r="A4" s="7" t="s">
        <v>26</v>
      </c>
      <c r="B4" s="7" t="s">
        <v>149</v>
      </c>
      <c r="C4" s="7" t="s">
        <v>150</v>
      </c>
      <c r="D4" s="7" t="s">
        <v>151</v>
      </c>
      <c r="E4" s="7" t="s">
        <v>152</v>
      </c>
      <c r="F4" s="7" t="s">
        <v>153</v>
      </c>
      <c r="G4" s="7" t="s">
        <v>154</v>
      </c>
      <c r="H4" s="7" t="s">
        <v>155</v>
      </c>
      <c r="I4" s="7" t="s">
        <v>156</v>
      </c>
    </row>
    <row r="5" spans="1:9" x14ac:dyDescent="0.35">
      <c r="A5" s="9" t="s">
        <v>63</v>
      </c>
      <c r="B5" s="9" t="s">
        <v>157</v>
      </c>
      <c r="C5" s="9" t="s">
        <v>158</v>
      </c>
      <c r="D5" s="9" t="s">
        <v>159</v>
      </c>
      <c r="E5" s="11">
        <v>1450</v>
      </c>
      <c r="F5" s="11">
        <v>1450</v>
      </c>
      <c r="G5" s="10">
        <v>45870</v>
      </c>
      <c r="H5" s="10">
        <v>46599</v>
      </c>
      <c r="I5" s="27">
        <f t="shared" ref="I5:I36" ca="1" si="0">IF(H5="","",IFERROR(H5-TODAY(),"check date"))</f>
        <v>281</v>
      </c>
    </row>
    <row r="6" spans="1:9" x14ac:dyDescent="0.35">
      <c r="A6" s="9" t="s">
        <v>63</v>
      </c>
      <c r="B6" s="9" t="s">
        <v>160</v>
      </c>
      <c r="C6" s="9" t="s">
        <v>161</v>
      </c>
      <c r="D6" s="9" t="s">
        <v>162</v>
      </c>
      <c r="E6" s="11">
        <v>1395</v>
      </c>
      <c r="F6" s="11">
        <v>1395</v>
      </c>
      <c r="G6" s="10">
        <v>46082</v>
      </c>
      <c r="H6" s="10">
        <v>46446</v>
      </c>
      <c r="I6" s="27">
        <f t="shared" ca="1" si="0"/>
        <v>128</v>
      </c>
    </row>
    <row r="7" spans="1:9" x14ac:dyDescent="0.35">
      <c r="A7" s="9"/>
      <c r="B7" s="9"/>
      <c r="C7" s="9"/>
      <c r="D7" s="9"/>
      <c r="E7" s="11"/>
      <c r="F7" s="11"/>
      <c r="G7" s="10"/>
      <c r="H7" s="10"/>
      <c r="I7" s="27" t="str">
        <f t="shared" ca="1" si="0"/>
        <v/>
      </c>
    </row>
    <row r="8" spans="1:9" x14ac:dyDescent="0.35">
      <c r="A8" s="9"/>
      <c r="B8" s="9"/>
      <c r="C8" s="9"/>
      <c r="D8" s="9"/>
      <c r="E8" s="11"/>
      <c r="F8" s="11"/>
      <c r="G8" s="10"/>
      <c r="H8" s="10"/>
      <c r="I8" s="27" t="str">
        <f t="shared" ca="1" si="0"/>
        <v/>
      </c>
    </row>
    <row r="9" spans="1:9" x14ac:dyDescent="0.35">
      <c r="A9" s="9"/>
      <c r="B9" s="9"/>
      <c r="C9" s="9"/>
      <c r="D9" s="9"/>
      <c r="E9" s="11"/>
      <c r="F9" s="11"/>
      <c r="G9" s="10"/>
      <c r="H9" s="10"/>
      <c r="I9" s="27" t="str">
        <f t="shared" ca="1" si="0"/>
        <v/>
      </c>
    </row>
    <row r="10" spans="1:9" x14ac:dyDescent="0.35">
      <c r="A10" s="9"/>
      <c r="B10" s="9"/>
      <c r="C10" s="9"/>
      <c r="D10" s="9"/>
      <c r="E10" s="11"/>
      <c r="F10" s="11"/>
      <c r="G10" s="10"/>
      <c r="H10" s="10"/>
      <c r="I10" s="27" t="str">
        <f t="shared" ca="1" si="0"/>
        <v/>
      </c>
    </row>
    <row r="11" spans="1:9" x14ac:dyDescent="0.35">
      <c r="A11" s="9"/>
      <c r="B11" s="9"/>
      <c r="C11" s="9"/>
      <c r="D11" s="9"/>
      <c r="E11" s="11"/>
      <c r="F11" s="11"/>
      <c r="G11" s="10"/>
      <c r="H11" s="10"/>
      <c r="I11" s="27" t="str">
        <f t="shared" ca="1" si="0"/>
        <v/>
      </c>
    </row>
    <row r="12" spans="1:9" x14ac:dyDescent="0.35">
      <c r="A12" s="9"/>
      <c r="B12" s="9"/>
      <c r="C12" s="9"/>
      <c r="D12" s="9"/>
      <c r="E12" s="11"/>
      <c r="F12" s="11"/>
      <c r="G12" s="10"/>
      <c r="H12" s="10"/>
      <c r="I12" s="27" t="str">
        <f t="shared" ca="1" si="0"/>
        <v/>
      </c>
    </row>
    <row r="13" spans="1:9" x14ac:dyDescent="0.35">
      <c r="A13" s="9"/>
      <c r="B13" s="9"/>
      <c r="C13" s="9"/>
      <c r="D13" s="9"/>
      <c r="E13" s="11"/>
      <c r="F13" s="11"/>
      <c r="G13" s="10"/>
      <c r="H13" s="10"/>
      <c r="I13" s="27" t="str">
        <f t="shared" ca="1" si="0"/>
        <v/>
      </c>
    </row>
    <row r="14" spans="1:9" x14ac:dyDescent="0.35">
      <c r="A14" s="9"/>
      <c r="B14" s="9"/>
      <c r="C14" s="9"/>
      <c r="D14" s="9"/>
      <c r="E14" s="11"/>
      <c r="F14" s="11"/>
      <c r="G14" s="10"/>
      <c r="H14" s="10"/>
      <c r="I14" s="27" t="str">
        <f t="shared" ca="1" si="0"/>
        <v/>
      </c>
    </row>
    <row r="15" spans="1:9" x14ac:dyDescent="0.35">
      <c r="A15" s="9"/>
      <c r="B15" s="9"/>
      <c r="C15" s="9"/>
      <c r="D15" s="9"/>
      <c r="E15" s="11"/>
      <c r="F15" s="11"/>
      <c r="G15" s="10"/>
      <c r="H15" s="10"/>
      <c r="I15" s="27" t="str">
        <f t="shared" ca="1" si="0"/>
        <v/>
      </c>
    </row>
    <row r="16" spans="1:9" x14ac:dyDescent="0.35">
      <c r="A16" s="9"/>
      <c r="B16" s="9"/>
      <c r="C16" s="9"/>
      <c r="D16" s="9"/>
      <c r="E16" s="11"/>
      <c r="F16" s="11"/>
      <c r="G16" s="10"/>
      <c r="H16" s="10"/>
      <c r="I16" s="27" t="str">
        <f t="shared" ca="1" si="0"/>
        <v/>
      </c>
    </row>
    <row r="17" spans="1:9" x14ac:dyDescent="0.35">
      <c r="A17" s="9"/>
      <c r="B17" s="9"/>
      <c r="C17" s="9"/>
      <c r="D17" s="9"/>
      <c r="E17" s="11"/>
      <c r="F17" s="11"/>
      <c r="G17" s="10"/>
      <c r="H17" s="10"/>
      <c r="I17" s="27" t="str">
        <f t="shared" ca="1" si="0"/>
        <v/>
      </c>
    </row>
    <row r="18" spans="1:9" x14ac:dyDescent="0.35">
      <c r="A18" s="9"/>
      <c r="B18" s="9"/>
      <c r="C18" s="9"/>
      <c r="D18" s="9"/>
      <c r="E18" s="11"/>
      <c r="F18" s="11"/>
      <c r="G18" s="10"/>
      <c r="H18" s="10"/>
      <c r="I18" s="27" t="str">
        <f t="shared" ca="1" si="0"/>
        <v/>
      </c>
    </row>
    <row r="19" spans="1:9" x14ac:dyDescent="0.35">
      <c r="A19" s="9"/>
      <c r="B19" s="9"/>
      <c r="C19" s="9"/>
      <c r="D19" s="9"/>
      <c r="E19" s="11"/>
      <c r="F19" s="11"/>
      <c r="G19" s="10"/>
      <c r="H19" s="10"/>
      <c r="I19" s="27" t="str">
        <f t="shared" ca="1" si="0"/>
        <v/>
      </c>
    </row>
    <row r="20" spans="1:9" x14ac:dyDescent="0.35">
      <c r="A20" s="9"/>
      <c r="B20" s="9"/>
      <c r="C20" s="9"/>
      <c r="D20" s="9"/>
      <c r="E20" s="11"/>
      <c r="F20" s="11"/>
      <c r="G20" s="10"/>
      <c r="H20" s="10"/>
      <c r="I20" s="27" t="str">
        <f t="shared" ca="1" si="0"/>
        <v/>
      </c>
    </row>
    <row r="21" spans="1:9" x14ac:dyDescent="0.35">
      <c r="A21" s="9"/>
      <c r="B21" s="9"/>
      <c r="C21" s="9"/>
      <c r="D21" s="9"/>
      <c r="E21" s="11"/>
      <c r="F21" s="11"/>
      <c r="G21" s="10"/>
      <c r="H21" s="10"/>
      <c r="I21" s="27" t="str">
        <f t="shared" ca="1" si="0"/>
        <v/>
      </c>
    </row>
    <row r="22" spans="1:9" x14ac:dyDescent="0.35">
      <c r="A22" s="9"/>
      <c r="B22" s="9"/>
      <c r="C22" s="9"/>
      <c r="D22" s="9"/>
      <c r="E22" s="11"/>
      <c r="F22" s="11"/>
      <c r="G22" s="10"/>
      <c r="H22" s="10"/>
      <c r="I22" s="27" t="str">
        <f t="shared" ca="1" si="0"/>
        <v/>
      </c>
    </row>
    <row r="23" spans="1:9" x14ac:dyDescent="0.35">
      <c r="A23" s="9"/>
      <c r="B23" s="9"/>
      <c r="C23" s="9"/>
      <c r="D23" s="9"/>
      <c r="E23" s="11"/>
      <c r="F23" s="11"/>
      <c r="G23" s="10"/>
      <c r="H23" s="10"/>
      <c r="I23" s="27" t="str">
        <f t="shared" ca="1" si="0"/>
        <v/>
      </c>
    </row>
    <row r="24" spans="1:9" x14ac:dyDescent="0.35">
      <c r="A24" s="9"/>
      <c r="B24" s="9"/>
      <c r="C24" s="9"/>
      <c r="D24" s="9"/>
      <c r="E24" s="11"/>
      <c r="F24" s="11"/>
      <c r="G24" s="10"/>
      <c r="H24" s="10"/>
      <c r="I24" s="27" t="str">
        <f t="shared" ca="1" si="0"/>
        <v/>
      </c>
    </row>
    <row r="25" spans="1:9" x14ac:dyDescent="0.35">
      <c r="A25" s="9"/>
      <c r="B25" s="9"/>
      <c r="C25" s="9"/>
      <c r="D25" s="9"/>
      <c r="E25" s="11"/>
      <c r="F25" s="11"/>
      <c r="G25" s="10"/>
      <c r="H25" s="10"/>
      <c r="I25" s="27" t="str">
        <f t="shared" ca="1" si="0"/>
        <v/>
      </c>
    </row>
    <row r="26" spans="1:9" x14ac:dyDescent="0.35">
      <c r="A26" s="9"/>
      <c r="B26" s="9"/>
      <c r="C26" s="9"/>
      <c r="D26" s="9"/>
      <c r="E26" s="11"/>
      <c r="F26" s="11"/>
      <c r="G26" s="10"/>
      <c r="H26" s="10"/>
      <c r="I26" s="27" t="str">
        <f t="shared" ca="1" si="0"/>
        <v/>
      </c>
    </row>
    <row r="27" spans="1:9" x14ac:dyDescent="0.35">
      <c r="A27" s="9"/>
      <c r="B27" s="9"/>
      <c r="C27" s="9"/>
      <c r="D27" s="9"/>
      <c r="E27" s="11"/>
      <c r="F27" s="11"/>
      <c r="G27" s="10"/>
      <c r="H27" s="10"/>
      <c r="I27" s="27" t="str">
        <f t="shared" ca="1" si="0"/>
        <v/>
      </c>
    </row>
    <row r="28" spans="1:9" x14ac:dyDescent="0.35">
      <c r="A28" s="9"/>
      <c r="B28" s="9"/>
      <c r="C28" s="9"/>
      <c r="D28" s="9"/>
      <c r="E28" s="11"/>
      <c r="F28" s="11"/>
      <c r="G28" s="10"/>
      <c r="H28" s="10"/>
      <c r="I28" s="27" t="str">
        <f t="shared" ca="1" si="0"/>
        <v/>
      </c>
    </row>
    <row r="29" spans="1:9" x14ac:dyDescent="0.35">
      <c r="A29" s="9"/>
      <c r="B29" s="9"/>
      <c r="C29" s="9"/>
      <c r="D29" s="9"/>
      <c r="E29" s="11"/>
      <c r="F29" s="11"/>
      <c r="G29" s="10"/>
      <c r="H29" s="10"/>
      <c r="I29" s="27" t="str">
        <f t="shared" ca="1" si="0"/>
        <v/>
      </c>
    </row>
    <row r="30" spans="1:9" x14ac:dyDescent="0.35">
      <c r="A30" s="9"/>
      <c r="B30" s="9"/>
      <c r="C30" s="9"/>
      <c r="D30" s="9"/>
      <c r="E30" s="11"/>
      <c r="F30" s="11"/>
      <c r="G30" s="10"/>
      <c r="H30" s="10"/>
      <c r="I30" s="27" t="str">
        <f t="shared" ca="1" si="0"/>
        <v/>
      </c>
    </row>
    <row r="31" spans="1:9" x14ac:dyDescent="0.35">
      <c r="A31" s="9"/>
      <c r="B31" s="9"/>
      <c r="C31" s="9"/>
      <c r="D31" s="9"/>
      <c r="E31" s="11"/>
      <c r="F31" s="11"/>
      <c r="G31" s="10"/>
      <c r="H31" s="10"/>
      <c r="I31" s="27" t="str">
        <f t="shared" ca="1" si="0"/>
        <v/>
      </c>
    </row>
    <row r="32" spans="1:9" x14ac:dyDescent="0.35">
      <c r="A32" s="9"/>
      <c r="B32" s="9"/>
      <c r="C32" s="9"/>
      <c r="D32" s="9"/>
      <c r="E32" s="11"/>
      <c r="F32" s="11"/>
      <c r="G32" s="10"/>
      <c r="H32" s="10"/>
      <c r="I32" s="27" t="str">
        <f t="shared" ca="1" si="0"/>
        <v/>
      </c>
    </row>
    <row r="33" spans="1:9" x14ac:dyDescent="0.35">
      <c r="A33" s="9"/>
      <c r="B33" s="9"/>
      <c r="C33" s="9"/>
      <c r="D33" s="9"/>
      <c r="E33" s="11"/>
      <c r="F33" s="11"/>
      <c r="G33" s="10"/>
      <c r="H33" s="10"/>
      <c r="I33" s="27" t="str">
        <f t="shared" ca="1" si="0"/>
        <v/>
      </c>
    </row>
    <row r="34" spans="1:9" x14ac:dyDescent="0.35">
      <c r="A34" s="9"/>
      <c r="B34" s="9"/>
      <c r="C34" s="9"/>
      <c r="D34" s="9"/>
      <c r="E34" s="11"/>
      <c r="F34" s="11"/>
      <c r="G34" s="10"/>
      <c r="H34" s="10"/>
      <c r="I34" s="27" t="str">
        <f t="shared" ca="1" si="0"/>
        <v/>
      </c>
    </row>
    <row r="35" spans="1:9" x14ac:dyDescent="0.35">
      <c r="A35" s="9"/>
      <c r="B35" s="9"/>
      <c r="C35" s="9"/>
      <c r="D35" s="9"/>
      <c r="E35" s="11"/>
      <c r="F35" s="11"/>
      <c r="G35" s="10"/>
      <c r="H35" s="10"/>
      <c r="I35" s="27" t="str">
        <f t="shared" ca="1" si="0"/>
        <v/>
      </c>
    </row>
    <row r="36" spans="1:9" x14ac:dyDescent="0.35">
      <c r="A36" s="9"/>
      <c r="B36" s="9"/>
      <c r="C36" s="9"/>
      <c r="D36" s="9"/>
      <c r="E36" s="11"/>
      <c r="F36" s="11"/>
      <c r="G36" s="10"/>
      <c r="H36" s="10"/>
      <c r="I36" s="27" t="str">
        <f t="shared" ca="1" si="0"/>
        <v/>
      </c>
    </row>
    <row r="37" spans="1:9" x14ac:dyDescent="0.35">
      <c r="A37" s="9"/>
      <c r="B37" s="9"/>
      <c r="C37" s="9"/>
      <c r="D37" s="9"/>
      <c r="E37" s="11"/>
      <c r="F37" s="11"/>
      <c r="G37" s="10"/>
      <c r="H37" s="10"/>
      <c r="I37" s="27" t="str">
        <f t="shared" ref="I37:I64" ca="1" si="1">IF(H37="","",IFERROR(H37-TODAY(),"check date"))</f>
        <v/>
      </c>
    </row>
    <row r="38" spans="1:9" x14ac:dyDescent="0.35">
      <c r="A38" s="9"/>
      <c r="B38" s="9"/>
      <c r="C38" s="9"/>
      <c r="D38" s="9"/>
      <c r="E38" s="11"/>
      <c r="F38" s="11"/>
      <c r="G38" s="10"/>
      <c r="H38" s="10"/>
      <c r="I38" s="27" t="str">
        <f t="shared" ca="1" si="1"/>
        <v/>
      </c>
    </row>
    <row r="39" spans="1:9" x14ac:dyDescent="0.35">
      <c r="A39" s="9"/>
      <c r="B39" s="9"/>
      <c r="C39" s="9"/>
      <c r="D39" s="9"/>
      <c r="E39" s="11"/>
      <c r="F39" s="11"/>
      <c r="G39" s="10"/>
      <c r="H39" s="10"/>
      <c r="I39" s="27" t="str">
        <f t="shared" ca="1" si="1"/>
        <v/>
      </c>
    </row>
    <row r="40" spans="1:9" x14ac:dyDescent="0.35">
      <c r="A40" s="9"/>
      <c r="B40" s="9"/>
      <c r="C40" s="9"/>
      <c r="D40" s="9"/>
      <c r="E40" s="11"/>
      <c r="F40" s="11"/>
      <c r="G40" s="10"/>
      <c r="H40" s="10"/>
      <c r="I40" s="27" t="str">
        <f t="shared" ca="1" si="1"/>
        <v/>
      </c>
    </row>
    <row r="41" spans="1:9" x14ac:dyDescent="0.35">
      <c r="A41" s="9"/>
      <c r="B41" s="9"/>
      <c r="C41" s="9"/>
      <c r="D41" s="9"/>
      <c r="E41" s="11"/>
      <c r="F41" s="11"/>
      <c r="G41" s="10"/>
      <c r="H41" s="10"/>
      <c r="I41" s="27" t="str">
        <f t="shared" ca="1" si="1"/>
        <v/>
      </c>
    </row>
    <row r="42" spans="1:9" x14ac:dyDescent="0.35">
      <c r="A42" s="9"/>
      <c r="B42" s="9"/>
      <c r="C42" s="9"/>
      <c r="D42" s="9"/>
      <c r="E42" s="11"/>
      <c r="F42" s="11"/>
      <c r="G42" s="10"/>
      <c r="H42" s="10"/>
      <c r="I42" s="27" t="str">
        <f t="shared" ca="1" si="1"/>
        <v/>
      </c>
    </row>
    <row r="43" spans="1:9" x14ac:dyDescent="0.35">
      <c r="A43" s="9"/>
      <c r="B43" s="9"/>
      <c r="C43" s="9"/>
      <c r="D43" s="9"/>
      <c r="E43" s="11"/>
      <c r="F43" s="11"/>
      <c r="G43" s="10"/>
      <c r="H43" s="10"/>
      <c r="I43" s="27" t="str">
        <f t="shared" ca="1" si="1"/>
        <v/>
      </c>
    </row>
    <row r="44" spans="1:9" x14ac:dyDescent="0.35">
      <c r="A44" s="9"/>
      <c r="B44" s="9"/>
      <c r="C44" s="9"/>
      <c r="D44" s="9"/>
      <c r="E44" s="11"/>
      <c r="F44" s="11"/>
      <c r="G44" s="10"/>
      <c r="H44" s="10"/>
      <c r="I44" s="27" t="str">
        <f t="shared" ca="1" si="1"/>
        <v/>
      </c>
    </row>
    <row r="45" spans="1:9" x14ac:dyDescent="0.35">
      <c r="A45" s="9"/>
      <c r="B45" s="9"/>
      <c r="C45" s="9"/>
      <c r="D45" s="9"/>
      <c r="E45" s="11"/>
      <c r="F45" s="11"/>
      <c r="G45" s="10"/>
      <c r="H45" s="10"/>
      <c r="I45" s="27" t="str">
        <f t="shared" ca="1" si="1"/>
        <v/>
      </c>
    </row>
    <row r="46" spans="1:9" x14ac:dyDescent="0.35">
      <c r="A46" s="9"/>
      <c r="B46" s="9"/>
      <c r="C46" s="9"/>
      <c r="D46" s="9"/>
      <c r="E46" s="11"/>
      <c r="F46" s="11"/>
      <c r="G46" s="10"/>
      <c r="H46" s="10"/>
      <c r="I46" s="27" t="str">
        <f t="shared" ca="1" si="1"/>
        <v/>
      </c>
    </row>
    <row r="47" spans="1:9" x14ac:dyDescent="0.35">
      <c r="A47" s="9"/>
      <c r="B47" s="9"/>
      <c r="C47" s="9"/>
      <c r="D47" s="9"/>
      <c r="E47" s="11"/>
      <c r="F47" s="11"/>
      <c r="G47" s="10"/>
      <c r="H47" s="10"/>
      <c r="I47" s="27" t="str">
        <f t="shared" ca="1" si="1"/>
        <v/>
      </c>
    </row>
    <row r="48" spans="1:9" x14ac:dyDescent="0.35">
      <c r="A48" s="9"/>
      <c r="B48" s="9"/>
      <c r="C48" s="9"/>
      <c r="D48" s="9"/>
      <c r="E48" s="11"/>
      <c r="F48" s="11"/>
      <c r="G48" s="10"/>
      <c r="H48" s="10"/>
      <c r="I48" s="27" t="str">
        <f t="shared" ca="1" si="1"/>
        <v/>
      </c>
    </row>
    <row r="49" spans="1:9" x14ac:dyDescent="0.35">
      <c r="A49" s="9"/>
      <c r="B49" s="9"/>
      <c r="C49" s="9"/>
      <c r="D49" s="9"/>
      <c r="E49" s="11"/>
      <c r="F49" s="11"/>
      <c r="G49" s="10"/>
      <c r="H49" s="10"/>
      <c r="I49" s="27" t="str">
        <f t="shared" ca="1" si="1"/>
        <v/>
      </c>
    </row>
    <row r="50" spans="1:9" x14ac:dyDescent="0.35">
      <c r="A50" s="9"/>
      <c r="B50" s="9"/>
      <c r="C50" s="9"/>
      <c r="D50" s="9"/>
      <c r="E50" s="11"/>
      <c r="F50" s="11"/>
      <c r="G50" s="10"/>
      <c r="H50" s="10"/>
      <c r="I50" s="27" t="str">
        <f t="shared" ca="1" si="1"/>
        <v/>
      </c>
    </row>
    <row r="51" spans="1:9" x14ac:dyDescent="0.35">
      <c r="A51" s="9"/>
      <c r="B51" s="9"/>
      <c r="C51" s="9"/>
      <c r="D51" s="9"/>
      <c r="E51" s="11"/>
      <c r="F51" s="11"/>
      <c r="G51" s="10"/>
      <c r="H51" s="10"/>
      <c r="I51" s="27" t="str">
        <f t="shared" ca="1" si="1"/>
        <v/>
      </c>
    </row>
    <row r="52" spans="1:9" x14ac:dyDescent="0.35">
      <c r="A52" s="9"/>
      <c r="B52" s="9"/>
      <c r="C52" s="9"/>
      <c r="D52" s="9"/>
      <c r="E52" s="11"/>
      <c r="F52" s="11"/>
      <c r="G52" s="10"/>
      <c r="H52" s="10"/>
      <c r="I52" s="27" t="str">
        <f t="shared" ca="1" si="1"/>
        <v/>
      </c>
    </row>
    <row r="53" spans="1:9" x14ac:dyDescent="0.35">
      <c r="A53" s="9"/>
      <c r="B53" s="9"/>
      <c r="C53" s="9"/>
      <c r="D53" s="9"/>
      <c r="E53" s="11"/>
      <c r="F53" s="11"/>
      <c r="G53" s="10"/>
      <c r="H53" s="10"/>
      <c r="I53" s="27" t="str">
        <f t="shared" ca="1" si="1"/>
        <v/>
      </c>
    </row>
    <row r="54" spans="1:9" x14ac:dyDescent="0.35">
      <c r="A54" s="9"/>
      <c r="B54" s="9"/>
      <c r="C54" s="9"/>
      <c r="D54" s="9"/>
      <c r="E54" s="11"/>
      <c r="F54" s="11"/>
      <c r="G54" s="10"/>
      <c r="H54" s="10"/>
      <c r="I54" s="27" t="str">
        <f t="shared" ca="1" si="1"/>
        <v/>
      </c>
    </row>
    <row r="55" spans="1:9" x14ac:dyDescent="0.35">
      <c r="A55" s="9"/>
      <c r="B55" s="9"/>
      <c r="C55" s="9"/>
      <c r="D55" s="9"/>
      <c r="E55" s="11"/>
      <c r="F55" s="11"/>
      <c r="G55" s="10"/>
      <c r="H55" s="10"/>
      <c r="I55" s="27" t="str">
        <f t="shared" ca="1" si="1"/>
        <v/>
      </c>
    </row>
    <row r="56" spans="1:9" x14ac:dyDescent="0.35">
      <c r="A56" s="9"/>
      <c r="B56" s="9"/>
      <c r="C56" s="9"/>
      <c r="D56" s="9"/>
      <c r="E56" s="11"/>
      <c r="F56" s="11"/>
      <c r="G56" s="10"/>
      <c r="H56" s="10"/>
      <c r="I56" s="27" t="str">
        <f t="shared" ca="1" si="1"/>
        <v/>
      </c>
    </row>
    <row r="57" spans="1:9" x14ac:dyDescent="0.35">
      <c r="A57" s="9"/>
      <c r="B57" s="9"/>
      <c r="C57" s="9"/>
      <c r="D57" s="9"/>
      <c r="E57" s="11"/>
      <c r="F57" s="11"/>
      <c r="G57" s="10"/>
      <c r="H57" s="10"/>
      <c r="I57" s="27" t="str">
        <f t="shared" ca="1" si="1"/>
        <v/>
      </c>
    </row>
    <row r="58" spans="1:9" x14ac:dyDescent="0.35">
      <c r="A58" s="9"/>
      <c r="B58" s="9"/>
      <c r="C58" s="9"/>
      <c r="D58" s="9"/>
      <c r="E58" s="11"/>
      <c r="F58" s="11"/>
      <c r="G58" s="10"/>
      <c r="H58" s="10"/>
      <c r="I58" s="27" t="str">
        <f t="shared" ca="1" si="1"/>
        <v/>
      </c>
    </row>
    <row r="59" spans="1:9" x14ac:dyDescent="0.35">
      <c r="A59" s="9"/>
      <c r="B59" s="9"/>
      <c r="C59" s="9"/>
      <c r="D59" s="9"/>
      <c r="E59" s="11"/>
      <c r="F59" s="11"/>
      <c r="G59" s="10"/>
      <c r="H59" s="10"/>
      <c r="I59" s="27" t="str">
        <f t="shared" ca="1" si="1"/>
        <v/>
      </c>
    </row>
    <row r="60" spans="1:9" x14ac:dyDescent="0.35">
      <c r="A60" s="9"/>
      <c r="B60" s="9"/>
      <c r="C60" s="9"/>
      <c r="D60" s="9"/>
      <c r="E60" s="11"/>
      <c r="F60" s="11"/>
      <c r="G60" s="10"/>
      <c r="H60" s="10"/>
      <c r="I60" s="27" t="str">
        <f t="shared" ca="1" si="1"/>
        <v/>
      </c>
    </row>
    <row r="61" spans="1:9" x14ac:dyDescent="0.35">
      <c r="A61" s="9"/>
      <c r="B61" s="9"/>
      <c r="C61" s="9"/>
      <c r="D61" s="9"/>
      <c r="E61" s="11"/>
      <c r="F61" s="11"/>
      <c r="G61" s="10"/>
      <c r="H61" s="10"/>
      <c r="I61" s="27" t="str">
        <f t="shared" ca="1" si="1"/>
        <v/>
      </c>
    </row>
    <row r="62" spans="1:9" x14ac:dyDescent="0.35">
      <c r="A62" s="9"/>
      <c r="B62" s="9"/>
      <c r="C62" s="9"/>
      <c r="D62" s="9"/>
      <c r="E62" s="11"/>
      <c r="F62" s="11"/>
      <c r="G62" s="10"/>
      <c r="H62" s="10"/>
      <c r="I62" s="27" t="str">
        <f t="shared" ca="1" si="1"/>
        <v/>
      </c>
    </row>
    <row r="63" spans="1:9" x14ac:dyDescent="0.35">
      <c r="A63" s="9"/>
      <c r="B63" s="9"/>
      <c r="C63" s="9"/>
      <c r="D63" s="9"/>
      <c r="E63" s="11"/>
      <c r="F63" s="11"/>
      <c r="G63" s="10"/>
      <c r="H63" s="10"/>
      <c r="I63" s="27" t="str">
        <f t="shared" ca="1" si="1"/>
        <v/>
      </c>
    </row>
    <row r="64" spans="1:9" x14ac:dyDescent="0.35">
      <c r="A64" s="9"/>
      <c r="B64" s="9"/>
      <c r="C64" s="9"/>
      <c r="D64" s="9"/>
      <c r="E64" s="11"/>
      <c r="F64" s="11"/>
      <c r="G64" s="10"/>
      <c r="H64" s="10"/>
      <c r="I64" s="27" t="str">
        <f t="shared" ca="1" si="1"/>
        <v/>
      </c>
    </row>
    <row r="66" spans="1:5" x14ac:dyDescent="0.35">
      <c r="A66" s="14" t="s">
        <v>163</v>
      </c>
      <c r="E66" s="20">
        <f>SUM(E5:E64)</f>
        <v>2845</v>
      </c>
    </row>
  </sheetData>
  <conditionalFormatting sqref="I5:I64">
    <cfRule type="expression" dxfId="1" priority="1">
      <formula>AND(ISNUMBER(I5),I5&lt;0)</formula>
    </cfRule>
    <cfRule type="expression" dxfId="0" priority="2">
      <formula>AND(ISNUMBER(I5),I5&gt;=0,I5&lt;=60)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Lists!$E$3:$E$12</xm:f>
          </x14:formula1>
          <xm:sqref>A5:A64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B3A86"/>
  </sheetPr>
  <dimension ref="A1:U17"/>
  <sheetViews>
    <sheetView workbookViewId="0"/>
  </sheetViews>
  <sheetFormatPr defaultRowHeight="14.5" x14ac:dyDescent="0.35"/>
  <sheetData>
    <row r="1" spans="1:21" x14ac:dyDescent="0.35">
      <c r="A1" t="s">
        <v>70</v>
      </c>
      <c r="B1" t="s">
        <v>164</v>
      </c>
      <c r="C1" t="s">
        <v>72</v>
      </c>
      <c r="E1" t="s">
        <v>165</v>
      </c>
      <c r="H1" t="s">
        <v>166</v>
      </c>
    </row>
    <row r="2" spans="1:21" x14ac:dyDescent="0.35">
      <c r="A2" t="s">
        <v>73</v>
      </c>
      <c r="B2" t="s">
        <v>107</v>
      </c>
      <c r="C2" t="s">
        <v>33</v>
      </c>
      <c r="E2" t="s">
        <v>143</v>
      </c>
      <c r="F2" t="s">
        <v>167</v>
      </c>
      <c r="H2" t="s">
        <v>73</v>
      </c>
      <c r="I2" t="s">
        <v>108</v>
      </c>
    </row>
    <row r="3" spans="1:21" x14ac:dyDescent="0.35">
      <c r="A3" t="s">
        <v>108</v>
      </c>
      <c r="B3" t="s">
        <v>107</v>
      </c>
      <c r="C3" t="s">
        <v>33</v>
      </c>
      <c r="E3" t="str">
        <f>IF(Properties!B5="","",Properties!B5)</f>
        <v>EXAMPLE: 412 Maple St (duplex)</v>
      </c>
      <c r="F3" t="str">
        <f>IF(Properties!B5="","[empty slot 1]",Properties!B5)</f>
        <v>EXAMPLE: 412 Maple St (duplex)</v>
      </c>
      <c r="H3" t="s">
        <v>110</v>
      </c>
      <c r="I3" t="s">
        <v>112</v>
      </c>
      <c r="J3" t="s">
        <v>114</v>
      </c>
      <c r="K3" t="s">
        <v>116</v>
      </c>
      <c r="L3" t="s">
        <v>80</v>
      </c>
      <c r="M3" t="s">
        <v>119</v>
      </c>
      <c r="N3" t="s">
        <v>121</v>
      </c>
      <c r="O3" t="s">
        <v>77</v>
      </c>
      <c r="P3" t="s">
        <v>124</v>
      </c>
      <c r="Q3" t="s">
        <v>75</v>
      </c>
      <c r="R3" t="s">
        <v>127</v>
      </c>
      <c r="S3" t="s">
        <v>86</v>
      </c>
      <c r="T3" t="s">
        <v>130</v>
      </c>
      <c r="U3" t="s">
        <v>132</v>
      </c>
    </row>
    <row r="4" spans="1:21" x14ac:dyDescent="0.35">
      <c r="A4" t="s">
        <v>110</v>
      </c>
      <c r="B4" t="s">
        <v>109</v>
      </c>
      <c r="C4" t="s">
        <v>168</v>
      </c>
      <c r="E4" t="str">
        <f>IF(Properties!B6="","",Properties!B6)</f>
        <v/>
      </c>
      <c r="F4" t="str">
        <f>IF(Properties!B6="","[empty slot 2]",Properties!B6)</f>
        <v>[empty slot 2]</v>
      </c>
    </row>
    <row r="5" spans="1:21" x14ac:dyDescent="0.35">
      <c r="A5" t="s">
        <v>112</v>
      </c>
      <c r="B5" t="s">
        <v>111</v>
      </c>
      <c r="C5" t="s">
        <v>168</v>
      </c>
      <c r="E5" t="str">
        <f>IF(Properties!B7="","",Properties!B7)</f>
        <v/>
      </c>
      <c r="F5" t="str">
        <f>IF(Properties!B7="","[empty slot 3]",Properties!B7)</f>
        <v>[empty slot 3]</v>
      </c>
    </row>
    <row r="6" spans="1:21" x14ac:dyDescent="0.35">
      <c r="A6" t="s">
        <v>114</v>
      </c>
      <c r="B6" t="s">
        <v>113</v>
      </c>
      <c r="C6" t="s">
        <v>168</v>
      </c>
      <c r="E6" t="str">
        <f>IF(Properties!B8="","",Properties!B8)</f>
        <v/>
      </c>
      <c r="F6" t="str">
        <f>IF(Properties!B8="","[empty slot 4]",Properties!B8)</f>
        <v>[empty slot 4]</v>
      </c>
    </row>
    <row r="7" spans="1:21" x14ac:dyDescent="0.35">
      <c r="A7" t="s">
        <v>116</v>
      </c>
      <c r="B7" t="s">
        <v>115</v>
      </c>
      <c r="C7" t="s">
        <v>168</v>
      </c>
      <c r="E7" t="str">
        <f>IF(Properties!B9="","",Properties!B9)</f>
        <v/>
      </c>
      <c r="F7" t="str">
        <f>IF(Properties!B9="","[empty slot 5]",Properties!B9)</f>
        <v>[empty slot 5]</v>
      </c>
    </row>
    <row r="8" spans="1:21" x14ac:dyDescent="0.35">
      <c r="A8" t="s">
        <v>80</v>
      </c>
      <c r="B8" t="s">
        <v>117</v>
      </c>
      <c r="C8" t="s">
        <v>168</v>
      </c>
      <c r="E8" t="str">
        <f>IF(Properties!B10="","",Properties!B10)</f>
        <v/>
      </c>
      <c r="F8" t="str">
        <f>IF(Properties!B10="","[empty slot 6]",Properties!B10)</f>
        <v>[empty slot 6]</v>
      </c>
    </row>
    <row r="9" spans="1:21" x14ac:dyDescent="0.35">
      <c r="A9" t="s">
        <v>119</v>
      </c>
      <c r="B9" t="s">
        <v>118</v>
      </c>
      <c r="C9" t="s">
        <v>168</v>
      </c>
      <c r="E9" t="str">
        <f>IF(Properties!B11="","",Properties!B11)</f>
        <v/>
      </c>
      <c r="F9" t="str">
        <f>IF(Properties!B11="","[empty slot 7]",Properties!B11)</f>
        <v>[empty slot 7]</v>
      </c>
    </row>
    <row r="10" spans="1:21" x14ac:dyDescent="0.35">
      <c r="A10" t="s">
        <v>121</v>
      </c>
      <c r="B10" t="s">
        <v>120</v>
      </c>
      <c r="C10" t="s">
        <v>168</v>
      </c>
      <c r="E10" t="str">
        <f>IF(Properties!B12="","",Properties!B12)</f>
        <v/>
      </c>
      <c r="F10" t="str">
        <f>IF(Properties!B12="","[empty slot 8]",Properties!B12)</f>
        <v>[empty slot 8]</v>
      </c>
    </row>
    <row r="11" spans="1:21" x14ac:dyDescent="0.35">
      <c r="A11" t="s">
        <v>77</v>
      </c>
      <c r="B11" t="s">
        <v>122</v>
      </c>
      <c r="C11" t="s">
        <v>168</v>
      </c>
      <c r="E11" t="str">
        <f>IF(Properties!B13="","",Properties!B13)</f>
        <v/>
      </c>
      <c r="F11" t="str">
        <f>IF(Properties!B13="","[empty slot 9]",Properties!B13)</f>
        <v>[empty slot 9]</v>
      </c>
    </row>
    <row r="12" spans="1:21" x14ac:dyDescent="0.35">
      <c r="A12" t="s">
        <v>124</v>
      </c>
      <c r="B12" t="s">
        <v>123</v>
      </c>
      <c r="C12" t="s">
        <v>168</v>
      </c>
      <c r="E12" t="str">
        <f>IF(Properties!B14="","",Properties!B14)</f>
        <v/>
      </c>
      <c r="F12" t="str">
        <f>IF(Properties!B14="","[empty slot 10]",Properties!B14)</f>
        <v>[empty slot 10]</v>
      </c>
    </row>
    <row r="13" spans="1:21" x14ac:dyDescent="0.35">
      <c r="A13" t="s">
        <v>75</v>
      </c>
      <c r="B13" t="s">
        <v>125</v>
      </c>
      <c r="C13" t="s">
        <v>168</v>
      </c>
    </row>
    <row r="14" spans="1:21" x14ac:dyDescent="0.35">
      <c r="A14" t="s">
        <v>127</v>
      </c>
      <c r="B14" t="s">
        <v>126</v>
      </c>
      <c r="C14" t="s">
        <v>168</v>
      </c>
    </row>
    <row r="15" spans="1:21" x14ac:dyDescent="0.35">
      <c r="A15" t="s">
        <v>86</v>
      </c>
      <c r="B15" t="s">
        <v>128</v>
      </c>
      <c r="C15" t="s">
        <v>168</v>
      </c>
    </row>
    <row r="16" spans="1:21" x14ac:dyDescent="0.35">
      <c r="A16" t="s">
        <v>130</v>
      </c>
      <c r="B16" t="s">
        <v>129</v>
      </c>
      <c r="C16" t="s">
        <v>168</v>
      </c>
    </row>
    <row r="17" spans="1:3" x14ac:dyDescent="0.35">
      <c r="A17" t="s">
        <v>132</v>
      </c>
      <c r="B17" t="s">
        <v>131</v>
      </c>
      <c r="C17" t="s">
        <v>168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Dashboard</vt:lpstr>
      <vt:lpstr>Properties</vt:lpstr>
      <vt:lpstr>Transactions</vt:lpstr>
      <vt:lpstr>Schedule E Summary</vt:lpstr>
      <vt:lpstr>Monthly P&amp;L</vt:lpstr>
      <vt:lpstr>Rent Roll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Murphy</cp:lastModifiedBy>
  <dcterms:created xsi:type="dcterms:W3CDTF">2026-10-23T16:27:01Z</dcterms:created>
  <dcterms:modified xsi:type="dcterms:W3CDTF">2026-10-23T16:30:38Z</dcterms:modified>
</cp:coreProperties>
</file>